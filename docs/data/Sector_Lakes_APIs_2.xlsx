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kes" sheetId="1" state="visible" r:id="rId3"/>
    <sheet name="Summary" sheetId="2" state="visible" r:id="rId4"/>
  </sheets>
  <definedNames>
    <definedName function="false" hidden="true" localSheetId="0" name="_xlnm._FilterDatabase" vbProcedure="false">Lakes!$A$1:$Q$648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<sst xmlns="http://schemas.openxmlformats.org/spreadsheetml/2006/main" count="9110" uniqueCount="1776">
  <si>
    <t xml:space="preserve">State</t>
  </si>
  <si>
    <t xml:space="preserve">Lake</t>
  </si>
  <si>
    <t xml:space="preserve">Latitude</t>
  </si>
  <si>
    <t xml:space="preserve">Longitude</t>
  </si>
  <si>
    <t xml:space="preserve">Coord Conf</t>
  </si>
  <si>
    <t xml:space="preserve">Full Pool (ft)</t>
  </si>
  <si>
    <t xml:space="preserve">Pool Basis</t>
  </si>
  <si>
    <t xml:space="preserve">Pool Conf</t>
  </si>
  <si>
    <t xml:space="preserve">Dam</t>
  </si>
  <si>
    <t xml:space="preserve">Dam?</t>
  </si>
  <si>
    <t xml:space="preserve">Managing Operator</t>
  </si>
  <si>
    <t xml:space="preserve">API Level</t>
  </si>
  <si>
    <t xml:space="preserve">Release Data Source &amp; URL</t>
  </si>
  <si>
    <t xml:space="preserve">USGS Gage</t>
  </si>
  <si>
    <t xml:space="preserve">Water Temp — Best Source</t>
  </si>
  <si>
    <t xml:space="preserve">Water Temp — Detail</t>
  </si>
  <si>
    <t xml:space="preserve">Notes</t>
  </si>
  <si>
    <t xml:space="preserve">AL</t>
  </si>
  <si>
    <t xml:space="preserve">Guntersville</t>
  </si>
  <si>
    <t xml:space="preserve">High</t>
  </si>
  <si>
    <t xml:space="preserve">Full pool</t>
  </si>
  <si>
    <t xml:space="preserve">✅</t>
  </si>
  <si>
    <t xml:space="preserve">Yes</t>
  </si>
  <si>
    <t xml:space="preserve">TVA</t>
  </si>
  <si>
    <t xml:space="preserve">Dedicated</t>
  </si>
  <si>
    <t xml:space="preserve">TVA Lake Info — tva.com/environment/lake-levels</t>
  </si>
  <si>
    <t xml:space="preserve">In-situ (USGS / WQP)</t>
  </si>
  <si>
    <t xml:space="preserve">USGS NWIS 00010 and/or Water Quality Portal (measured)</t>
  </si>
  <si>
    <t xml:space="preserve">Tennessee R. impoundment</t>
  </si>
  <si>
    <t xml:space="preserve">Wheeler</t>
  </si>
  <si>
    <t xml:space="preserve">tva.com/environment/lake-levels</t>
  </si>
  <si>
    <t xml:space="preserve">Tennessee R.</t>
  </si>
  <si>
    <t xml:space="preserve">Wilson</t>
  </si>
  <si>
    <t xml:space="preserve">Pickwick</t>
  </si>
  <si>
    <t xml:space="preserve">Weiss</t>
  </si>
  <si>
    <t xml:space="preserve">Alabama Power</t>
  </si>
  <si>
    <t xml:space="preserve">USGS-only</t>
  </si>
  <si>
    <t xml:space="preserve">apcshorelines.com/lake/weiss + USGS NWIS</t>
  </si>
  <si>
    <t xml:space="preserve">Coosa R.; APC level pages, no open API</t>
  </si>
  <si>
    <t xml:space="preserve">Lake Martin</t>
  </si>
  <si>
    <t xml:space="preserve">apcshorelines.com/lake/martin + USGS</t>
  </si>
  <si>
    <t xml:space="preserve">Likely</t>
  </si>
  <si>
    <t xml:space="preserve">Satellite estimate</t>
  </si>
  <si>
    <t xml:space="preserve">Copernicus LSWT 1km / satellite est. (surface only)</t>
  </si>
  <si>
    <t xml:space="preserve">Tallapoosa R. (Martin Dam)</t>
  </si>
  <si>
    <t xml:space="preserve">Logan Martin</t>
  </si>
  <si>
    <t xml:space="preserve">apcshorelines.com/lake/logan-martin + USGS</t>
  </si>
  <si>
    <t xml:space="preserve">Coosa R.</t>
  </si>
  <si>
    <t xml:space="preserve">Lay</t>
  </si>
  <si>
    <t xml:space="preserve">Med</t>
  </si>
  <si>
    <t xml:space="preserve">apcshorelines.com/lake/lay + USGS</t>
  </si>
  <si>
    <t xml:space="preserve">Neely Henry</t>
  </si>
  <si>
    <t xml:space="preserve">apcshorelines.com/lake/neely-henry + USGS</t>
  </si>
  <si>
    <t xml:space="preserve">Smith (Lewis Smith)</t>
  </si>
  <si>
    <t xml:space="preserve">apcshorelines.com/lake/smith + USGS</t>
  </si>
  <si>
    <t xml:space="preserve">Sipsey Fork/Warrior R.</t>
  </si>
  <si>
    <t xml:space="preserve">Eufaula / W.F. George</t>
  </si>
  <si>
    <t xml:space="preserve">USACE Mobile</t>
  </si>
  <si>
    <t xml:space="preserve">water.usace.army.mil/office/sam + USGS</t>
  </si>
  <si>
    <t xml:space="preserve">Chattahoochee R.</t>
  </si>
  <si>
    <t xml:space="preserve">Jordan</t>
  </si>
  <si>
    <t xml:space="preserve">apcshorelines.com/lake/jordan + USGS</t>
  </si>
  <si>
    <t xml:space="preserve">Bankhead</t>
  </si>
  <si>
    <t xml:space="preserve">apcshorelines.com/lake/bankhead + USGS</t>
  </si>
  <si>
    <t xml:space="preserve">Black Warrior R.</t>
  </si>
  <si>
    <t xml:space="preserve">AK</t>
  </si>
  <si>
    <t xml:space="preserve">Iliamna</t>
  </si>
  <si>
    <t xml:space="preserve">Natural surface</t>
  </si>
  <si>
    <t xml:space="preserve">Low</t>
  </si>
  <si>
    <t xml:space="preserve">❌</t>
  </si>
  <si>
    <t xml:space="preserve">No</t>
  </si>
  <si>
    <t xml:space="preserve">none</t>
  </si>
  <si>
    <t xml:space="preserve">None</t>
  </si>
  <si>
    <t xml:space="preserve">—</t>
  </si>
  <si>
    <t xml:space="preserve">Natural; AK's largest lake</t>
  </si>
  <si>
    <t xml:space="preserve">Becharof</t>
  </si>
  <si>
    <t xml:space="preserve">Natural, remote</t>
  </si>
  <si>
    <t xml:space="preserve">Teshekpuk</t>
  </si>
  <si>
    <t xml:space="preserve">Natural thermokarst, North Slope</t>
  </si>
  <si>
    <t xml:space="preserve">Naknek</t>
  </si>
  <si>
    <t xml:space="preserve">USGS NWIS (Naknek R. nr King Salmon)</t>
  </si>
  <si>
    <t xml:space="preserve">Natural; river gage downstream</t>
  </si>
  <si>
    <t xml:space="preserve">Lake Clark</t>
  </si>
  <si>
    <t xml:space="preserve">Tustumena</t>
  </si>
  <si>
    <t xml:space="preserve">USGS NWIS (Kasilof R.)</t>
  </si>
  <si>
    <t xml:space="preserve">Natural; outlet-river gage</t>
  </si>
  <si>
    <t xml:space="preserve">Kenai</t>
  </si>
  <si>
    <t xml:space="preserve">USGS NWIS (Kenai R.)</t>
  </si>
  <si>
    <t xml:space="preserve">Natural; Kenai R. gages</t>
  </si>
  <si>
    <t xml:space="preserve">Skilak</t>
  </si>
  <si>
    <t xml:space="preserve">USGS NWIS (Kenai R. at Skilak)</t>
  </si>
  <si>
    <t xml:space="preserve">Natural; river gage</t>
  </si>
  <si>
    <t xml:space="preserve">Aleknagik</t>
  </si>
  <si>
    <t xml:space="preserve">Natural (Wood R. lakes)</t>
  </si>
  <si>
    <t xml:space="preserve">Harding</t>
  </si>
  <si>
    <t xml:space="preserve">Natural, near Fairbanks</t>
  </si>
  <si>
    <t xml:space="preserve">Big Lake</t>
  </si>
  <si>
    <t xml:space="preserve">Natural, Mat-Su</t>
  </si>
  <si>
    <t xml:space="preserve">Kvichak / Ugashik</t>
  </si>
  <si>
    <t xml:space="preserve">Kvichak is a river; Ugashik Lakes natural</t>
  </si>
  <si>
    <t xml:space="preserve">AZ</t>
  </si>
  <si>
    <t xml:space="preserve">Mead</t>
  </si>
  <si>
    <t xml:space="preserve">USBR (Hoover)</t>
  </si>
  <si>
    <t xml:space="preserve">RISE API — data.usbr.gov/rise-api + USGS</t>
  </si>
  <si>
    <t xml:space="preserve">Buoy / in-situ (real-time)</t>
  </si>
  <si>
    <t xml:space="preserve">NDBC / research (biostation/GLEON) buoy; in-situ DB</t>
  </si>
  <si>
    <t xml:space="preserve">Colorado R.</t>
  </si>
  <si>
    <t xml:space="preserve">Powell</t>
  </si>
  <si>
    <t xml:space="preserve">USBR (Glen Canyon)</t>
  </si>
  <si>
    <t xml:space="preserve">RISE / usbr.gov/uc hydrodata + USGS</t>
  </si>
  <si>
    <t xml:space="preserve">Havasu</t>
  </si>
  <si>
    <t xml:space="preserve">USBR (Parker Dam)</t>
  </si>
  <si>
    <t xml:space="preserve">RISE API + USGS</t>
  </si>
  <si>
    <t xml:space="preserve">Colorado R.; CAP/MWD intake</t>
  </si>
  <si>
    <t xml:space="preserve">Mohave</t>
  </si>
  <si>
    <t xml:space="preserve">USBR (Davis Dam)</t>
  </si>
  <si>
    <t xml:space="preserve">Roosevelt</t>
  </si>
  <si>
    <t xml:space="preserve">SRP</t>
  </si>
  <si>
    <t xml:space="preserve">srpnet.com dam-lake-management + USGS</t>
  </si>
  <si>
    <t xml:space="preserve">Salt R.; SRP publishes levels</t>
  </si>
  <si>
    <t xml:space="preserve">Apache</t>
  </si>
  <si>
    <t xml:space="preserve">SRP (Horse Mesa)</t>
  </si>
  <si>
    <t xml:space="preserve">srpnet.com + USGS</t>
  </si>
  <si>
    <t xml:space="preserve">Salt R.</t>
  </si>
  <si>
    <t xml:space="preserve">Canyon</t>
  </si>
  <si>
    <t xml:space="preserve">SRP (Mormon Flat)</t>
  </si>
  <si>
    <t xml:space="preserve">Saguaro</t>
  </si>
  <si>
    <t xml:space="preserve">SRP (Stewart Mtn)</t>
  </si>
  <si>
    <t xml:space="preserve">Pleasant</t>
  </si>
  <si>
    <t xml:space="preserve">CAP/USBR (New Waddell)</t>
  </si>
  <si>
    <t xml:space="preserve">USGS NWIS + CAP</t>
  </si>
  <si>
    <t xml:space="preserve">Agua Fria R.; CAP storage</t>
  </si>
  <si>
    <t xml:space="preserve">San Carlos</t>
  </si>
  <si>
    <t xml:space="preserve">BIA/San Carlos Proj. (Coolidge)</t>
  </si>
  <si>
    <t xml:space="preserve">USGS NWIS (Gila R.)</t>
  </si>
  <si>
    <t xml:space="preserve">Gila R.</t>
  </si>
  <si>
    <t xml:space="preserve">Bartlett</t>
  </si>
  <si>
    <t xml:space="preserve">Verde R.</t>
  </si>
  <si>
    <t xml:space="preserve">Lake Mary</t>
  </si>
  <si>
    <t xml:space="preserve">City of Flagstaff</t>
  </si>
  <si>
    <t xml:space="preserve">Upper Lake Mary reservoir; small/local</t>
  </si>
  <si>
    <t xml:space="preserve">Alamo</t>
  </si>
  <si>
    <t xml:space="preserve">USACE Los Angeles</t>
  </si>
  <si>
    <t xml:space="preserve">water.usace.army.mil/office/spl + USGS</t>
  </si>
  <si>
    <t xml:space="preserve">Bill Williams R.</t>
  </si>
  <si>
    <t xml:space="preserve">AR</t>
  </si>
  <si>
    <t xml:space="preserve">Ouachita (L. Ouachita)</t>
  </si>
  <si>
    <t xml:space="preserve">USACE Vicksburg (Blakely Mtn)</t>
  </si>
  <si>
    <t xml:space="preserve">water.usace.army.mil + USGS</t>
  </si>
  <si>
    <t xml:space="preserve">Ouachita R.</t>
  </si>
  <si>
    <t xml:space="preserve">Bull Shoals</t>
  </si>
  <si>
    <t xml:space="preserve">USACE Little Rock</t>
  </si>
  <si>
    <t xml:space="preserve">swl-wc.usace.army.mil + USGS</t>
  </si>
  <si>
    <t xml:space="preserve">White R.</t>
  </si>
  <si>
    <t xml:space="preserve">Beaver</t>
  </si>
  <si>
    <t xml:space="preserve">Greers Ferry</t>
  </si>
  <si>
    <t xml:space="preserve">Little Red R.</t>
  </si>
  <si>
    <t xml:space="preserve">Hamilton</t>
  </si>
  <si>
    <t xml:space="preserve">Entergy (Carpenter Dam)</t>
  </si>
  <si>
    <t xml:space="preserve">USGS NWIS (Ouachita R.)</t>
  </si>
  <si>
    <t xml:space="preserve">Utility hydro lake</t>
  </si>
  <si>
    <t xml:space="preserve">Catherine</t>
  </si>
  <si>
    <t xml:space="preserve">Entergy (Remmel Dam)</t>
  </si>
  <si>
    <t xml:space="preserve">DeGray</t>
  </si>
  <si>
    <t xml:space="preserve">USACE Vicksburg</t>
  </si>
  <si>
    <t xml:space="preserve">Caddo R.</t>
  </si>
  <si>
    <t xml:space="preserve">Table Rock</t>
  </si>
  <si>
    <t xml:space="preserve">White R. (MO/AR)</t>
  </si>
  <si>
    <t xml:space="preserve">Norfork</t>
  </si>
  <si>
    <t xml:space="preserve">North Fork R.</t>
  </si>
  <si>
    <t xml:space="preserve">Millwood</t>
  </si>
  <si>
    <t xml:space="preserve">Little River</t>
  </si>
  <si>
    <t xml:space="preserve">Dardanelle</t>
  </si>
  <si>
    <t xml:space="preserve">Arkansas R. lock &amp; dam</t>
  </si>
  <si>
    <t xml:space="preserve">Chicot</t>
  </si>
  <si>
    <t xml:space="preserve">AGFC/USACE (control str.)</t>
  </si>
  <si>
    <t xml:space="preserve">USGS NWIS</t>
  </si>
  <si>
    <t xml:space="preserve">Natural Mississippi oxbow; outlet control</t>
  </si>
  <si>
    <t xml:space="preserve">Nimrod</t>
  </si>
  <si>
    <t xml:space="preserve">Fourche LaFave R.</t>
  </si>
  <si>
    <t xml:space="preserve">CA</t>
  </si>
  <si>
    <t xml:space="preserve">Tahoe</t>
  </si>
  <si>
    <t xml:space="preserve">USBR/Fed Watermaster</t>
  </si>
  <si>
    <t xml:space="preserve">USGS NWIS (Tahoe outlet)</t>
  </si>
  <si>
    <t xml:space="preserve">Natural; Tahoe Dam controls top ~6 ft</t>
  </si>
  <si>
    <t xml:space="preserve">Clear Lake</t>
  </si>
  <si>
    <t xml:space="preserve">Yolo/Lake Co. (Cache Ck Dam)</t>
  </si>
  <si>
    <t xml:space="preserve">Natural; outlet dam regulates level</t>
  </si>
  <si>
    <t xml:space="preserve">Salton Sea</t>
  </si>
  <si>
    <t xml:space="preserve">Endorheic; no dam</t>
  </si>
  <si>
    <t xml:space="preserve">Mono</t>
  </si>
  <si>
    <t xml:space="preserve">none (LADWP diversions)</t>
  </si>
  <si>
    <t xml:space="preserve">Natural terminal lake; no outlet dam</t>
  </si>
  <si>
    <t xml:space="preserve">Shasta</t>
  </si>
  <si>
    <t xml:space="preserve">USBR CVP</t>
  </si>
  <si>
    <t xml:space="preserve">CDEC (res_SHA) / usbr.gov/mp/cvo + USGS</t>
  </si>
  <si>
    <t xml:space="preserve">Sacramento R.</t>
  </si>
  <si>
    <t xml:space="preserve">Oroville</t>
  </si>
  <si>
    <t xml:space="preserve">CA DWR (SWP)</t>
  </si>
  <si>
    <t xml:space="preserve">CDEC — cdec.water.ca.gov + USGS</t>
  </si>
  <si>
    <t xml:space="preserve">Feather R.</t>
  </si>
  <si>
    <t xml:space="preserve">Berryessa</t>
  </si>
  <si>
    <t xml:space="preserve">USBR (Monticello)</t>
  </si>
  <si>
    <t xml:space="preserve">CDEC / USBR + USGS</t>
  </si>
  <si>
    <t xml:space="preserve">Putah Ck; Solano Project</t>
  </si>
  <si>
    <t xml:space="preserve">Folsom</t>
  </si>
  <si>
    <t xml:space="preserve">CDEC / usbr.gov/mp/cvo + USGS</t>
  </si>
  <si>
    <t xml:space="preserve">American R.</t>
  </si>
  <si>
    <t xml:space="preserve">Trinity</t>
  </si>
  <si>
    <t xml:space="preserve">Trinity R.</t>
  </si>
  <si>
    <t xml:space="preserve">Almanor</t>
  </si>
  <si>
    <t xml:space="preserve">PG&amp;E</t>
  </si>
  <si>
    <t xml:space="preserve">CDEC (res) + USGS</t>
  </si>
  <si>
    <t xml:space="preserve">N. Fork Feather R.; PG&amp;E hydro</t>
  </si>
  <si>
    <t xml:space="preserve">Colorado R. (CA/AZ)</t>
  </si>
  <si>
    <t xml:space="preserve">Don Pedro</t>
  </si>
  <si>
    <t xml:space="preserve">TID/MID</t>
  </si>
  <si>
    <t xml:space="preserve">CDEC (res_DNP) + USGS</t>
  </si>
  <si>
    <t xml:space="preserve">Tuolumne R.</t>
  </si>
  <si>
    <t xml:space="preserve">Isabella</t>
  </si>
  <si>
    <t xml:space="preserve">USACE Sacramento</t>
  </si>
  <si>
    <t xml:space="preserve">spk-wc.usace.army.mil + USGS</t>
  </si>
  <si>
    <t xml:space="preserve">Kern R.</t>
  </si>
  <si>
    <t xml:space="preserve">Eagle Lake</t>
  </si>
  <si>
    <t xml:space="preserve">Natural terminal lake, Lassen Co.</t>
  </si>
  <si>
    <t xml:space="preserve">CO</t>
  </si>
  <si>
    <t xml:space="preserve">Blue Mesa Reservoir</t>
  </si>
  <si>
    <t xml:space="preserve">USBR (Aspinall Unit)</t>
  </si>
  <si>
    <t xml:space="preserve">USBR RISE — data.usbr.gov/rise-api</t>
  </si>
  <si>
    <t xml:space="preserve">CO's largest reservoir; Gunnison R.</t>
  </si>
  <si>
    <t xml:space="preserve">Grand Lake</t>
  </si>
  <si>
    <t xml:space="preserve">USBR / Northern Water (C-BT)</t>
  </si>
  <si>
    <t xml:space="preserve">USGS Three Lakes + USBR Hydromet</t>
  </si>
  <si>
    <t xml:space="preserve">Largest natural lake in CO; controlled link</t>
  </si>
  <si>
    <t xml:space="preserve">Dillon Reservoir</t>
  </si>
  <si>
    <t xml:space="preserve">Denver Water</t>
  </si>
  <si>
    <t xml:space="preserve">Denver Water levels + waterservices.usgs.gov</t>
  </si>
  <si>
    <t xml:space="preserve">Denver Water; no public API</t>
  </si>
  <si>
    <t xml:space="preserve">Horsetooth Reservoir</t>
  </si>
  <si>
    <t xml:space="preserve">USBR RISE / GP Hydromet</t>
  </si>
  <si>
    <t xml:space="preserve">Off-channel C-BT storage</t>
  </si>
  <si>
    <t xml:space="preserve">Lake Granby</t>
  </si>
  <si>
    <t xml:space="preserve">USBR RISE — data.usbr.gov</t>
  </si>
  <si>
    <t xml:space="preserve">Granby Dam on Colorado R.</t>
  </si>
  <si>
    <t xml:space="preserve">Chatfield Reservoir</t>
  </si>
  <si>
    <t xml:space="preserve">USACE Omaha</t>
  </si>
  <si>
    <t xml:space="preserve">USACE Omaha water mgmt + USGS</t>
  </si>
  <si>
    <t xml:space="preserve">Flood-control dam</t>
  </si>
  <si>
    <t xml:space="preserve">Cherry Creek Reservoir</t>
  </si>
  <si>
    <t xml:space="preserve">John Martin Reservoir</t>
  </si>
  <si>
    <t xml:space="preserve">USACE Albuquerque</t>
  </si>
  <si>
    <t xml:space="preserve">USACE + USGS Arkansas R.</t>
  </si>
  <si>
    <t xml:space="preserve">Arkansas R. flood control</t>
  </si>
  <si>
    <t xml:space="preserve">Navajo Reservoir</t>
  </si>
  <si>
    <t xml:space="preserve">USBR (San Juan R.)</t>
  </si>
  <si>
    <t xml:space="preserve">San Juan R.</t>
  </si>
  <si>
    <t xml:space="preserve">Ruedi Reservoir</t>
  </si>
  <si>
    <t xml:space="preserve">USBR (Fryingpan-Ark)</t>
  </si>
  <si>
    <t xml:space="preserve">Fryingpan R.</t>
  </si>
  <si>
    <t xml:space="preserve">Eleven Mile Reservoir</t>
  </si>
  <si>
    <t xml:space="preserve">Denver Water supply reservoir</t>
  </si>
  <si>
    <t xml:space="preserve">Pueblo Reservoir</t>
  </si>
  <si>
    <t xml:space="preserve">USBR (Fry-Ark)</t>
  </si>
  <si>
    <t xml:space="preserve">Arkansas R.</t>
  </si>
  <si>
    <t xml:space="preserve">Shadow Mountain Reservoir</t>
  </si>
  <si>
    <t xml:space="preserve">Dam on Colorado R.</t>
  </si>
  <si>
    <t xml:space="preserve">CT</t>
  </si>
  <si>
    <t xml:space="preserve">Candlewood Lake</t>
  </si>
  <si>
    <t xml:space="preserve">FirstLight Power</t>
  </si>
  <si>
    <t xml:space="preserve">FirstLight drawdown notices</t>
  </si>
  <si>
    <t xml:space="preserve">Man-made pumped-storage off Housatonic R.</t>
  </si>
  <si>
    <t xml:space="preserve">Lake Lillinonah</t>
  </si>
  <si>
    <t xml:space="preserve">FirstLight Power (Shepaug)</t>
  </si>
  <si>
    <t xml:space="preserve">FirstLight + USGS Housatonic R.</t>
  </si>
  <si>
    <t xml:space="preserve">Impoundment on Housatonic R.</t>
  </si>
  <si>
    <t xml:space="preserve">Bantam Lake</t>
  </si>
  <si>
    <t xml:space="preserve">State (DEEP)</t>
  </si>
  <si>
    <t xml:space="preserve">Largest natural lake in CT</t>
  </si>
  <si>
    <t xml:space="preserve">Lake Zoar</t>
  </si>
  <si>
    <t xml:space="preserve">FirstLight Power (Stevenson)</t>
  </si>
  <si>
    <t xml:space="preserve">Gardner Lake</t>
  </si>
  <si>
    <t xml:space="preserve">Natural glacial lake</t>
  </si>
  <si>
    <t xml:space="preserve">Lake Waramaug</t>
  </si>
  <si>
    <t xml:space="preserve">State/assoc.</t>
  </si>
  <si>
    <t xml:space="preserve">Natural lake</t>
  </si>
  <si>
    <t xml:space="preserve">Coventry Lake (Wangumbaug)</t>
  </si>
  <si>
    <t xml:space="preserve">Mansfield Hollow Lake</t>
  </si>
  <si>
    <t xml:space="preserve">USACE New England</t>
  </si>
  <si>
    <t xml:space="preserve">USACE NAE + USGS</t>
  </si>
  <si>
    <t xml:space="preserve">Highland Lake</t>
  </si>
  <si>
    <t xml:space="preserve">Town of Winchester</t>
  </si>
  <si>
    <t xml:space="preserve">Natural lake raised by outlet dam</t>
  </si>
  <si>
    <t xml:space="preserve">Squantz Pond</t>
  </si>
  <si>
    <t xml:space="preserve">State / FirstLight-linked</t>
  </si>
  <si>
    <t xml:space="preserve">Limited / none</t>
  </si>
  <si>
    <t xml:space="preserve">Too small for satellite LSWT; no known monitoring</t>
  </si>
  <si>
    <t xml:space="preserve">Natural; level tied to Candlewood</t>
  </si>
  <si>
    <t xml:space="preserve">Pachaug Pond</t>
  </si>
  <si>
    <t xml:space="preserve">Dammed millpond/impoundment</t>
  </si>
  <si>
    <t xml:space="preserve">Barkhamsted Reservoir</t>
  </si>
  <si>
    <t xml:space="preserve">MDC (Metro District)</t>
  </si>
  <si>
    <t xml:space="preserve">MDC (water supply)</t>
  </si>
  <si>
    <t xml:space="preserve">Farmington R. supply reservoir</t>
  </si>
  <si>
    <t xml:space="preserve">DE</t>
  </si>
  <si>
    <t xml:space="preserve">Lums Pond</t>
  </si>
  <si>
    <t xml:space="preserve">DE DNREC / State Parks</t>
  </si>
  <si>
    <t xml:space="preserve">Largest DE freshwater pond; dammed</t>
  </si>
  <si>
    <t xml:space="preserve">Silver Lake (Dover)</t>
  </si>
  <si>
    <t xml:space="preserve">DE DNREC (St. Jones R.)</t>
  </si>
  <si>
    <t xml:space="preserve">USGS St. Jones R.</t>
  </si>
  <si>
    <t xml:space="preserve">Man-made millpond</t>
  </si>
  <si>
    <t xml:space="preserve">Killens Pond</t>
  </si>
  <si>
    <t xml:space="preserve">Trap Pond</t>
  </si>
  <si>
    <t xml:space="preserve">Becks Pond</t>
  </si>
  <si>
    <t xml:space="preserve">DE DNREC</t>
  </si>
  <si>
    <t xml:space="preserve">Man-made pond</t>
  </si>
  <si>
    <t xml:space="preserve">Records Pond</t>
  </si>
  <si>
    <t xml:space="preserve">DE DNREC (Laurel)</t>
  </si>
  <si>
    <t xml:space="preserve">Concord Pond</t>
  </si>
  <si>
    <t xml:space="preserve">Garrisons Lake</t>
  </si>
  <si>
    <t xml:space="preserve">Andrews Lake</t>
  </si>
  <si>
    <t xml:space="preserve">Griffith Lake</t>
  </si>
  <si>
    <t xml:space="preserve">Red Mill Pond</t>
  </si>
  <si>
    <t xml:space="preserve">Wagamons Pond</t>
  </si>
  <si>
    <t xml:space="preserve">FL</t>
  </si>
  <si>
    <t xml:space="preserve">Okeechobee</t>
  </si>
  <si>
    <t xml:space="preserve">USACE Jacksonville + SFWMD</t>
  </si>
  <si>
    <t xml:space="preserve">SFWMD DBHYDRO — sfwmd.gov/science-data/dbhydro</t>
  </si>
  <si>
    <t xml:space="preserve">Natural but diked; regulated by locks</t>
  </si>
  <si>
    <t xml:space="preserve">Lake George</t>
  </si>
  <si>
    <t xml:space="preserve">SJRWMD (St. Johns R.)</t>
  </si>
  <si>
    <t xml:space="preserve">USGS St. Johns R.</t>
  </si>
  <si>
    <t xml:space="preserve">2nd-largest FL lake; natural</t>
  </si>
  <si>
    <t xml:space="preserve">Kissimmee</t>
  </si>
  <si>
    <t xml:space="preserve">SFWMD (S-65 structures)</t>
  </si>
  <si>
    <t xml:space="preserve">SFWMD DBHYDRO</t>
  </si>
  <si>
    <t xml:space="preserve">Natural, structure-regulated</t>
  </si>
  <si>
    <t xml:space="preserve">Apopka</t>
  </si>
  <si>
    <t xml:space="preserve">SJRWMD</t>
  </si>
  <si>
    <t xml:space="preserve">USGS / SJRWMD</t>
  </si>
  <si>
    <t xml:space="preserve">Istokpoga</t>
  </si>
  <si>
    <t xml:space="preserve">SFWMD</t>
  </si>
  <si>
    <t xml:space="preserve">Natural, structure-regulated (S-68)</t>
  </si>
  <si>
    <t xml:space="preserve">Tohopekaliga (Toho)</t>
  </si>
  <si>
    <t xml:space="preserve">SFWMD (S-61)</t>
  </si>
  <si>
    <t xml:space="preserve">Natural, regulated</t>
  </si>
  <si>
    <t xml:space="preserve">East Lake Tohopekaliga</t>
  </si>
  <si>
    <t xml:space="preserve">SFWMD (S-59)</t>
  </si>
  <si>
    <t xml:space="preserve">Orange Lake</t>
  </si>
  <si>
    <t xml:space="preserve">Natural prairie lake</t>
  </si>
  <si>
    <t xml:space="preserve">Harris</t>
  </si>
  <si>
    <t xml:space="preserve">SJRWMD (Harris Chain)</t>
  </si>
  <si>
    <t xml:space="preserve">Natural; Ocklawaha chain</t>
  </si>
  <si>
    <t xml:space="preserve">Griffin</t>
  </si>
  <si>
    <t xml:space="preserve">SJRWMD (Burrell Lock)</t>
  </si>
  <si>
    <t xml:space="preserve">Natural, lock-controlled</t>
  </si>
  <si>
    <t xml:space="preserve">Seminole</t>
  </si>
  <si>
    <t xml:space="preserve">Pinellas County / SWFWMD</t>
  </si>
  <si>
    <t xml:space="preserve">USGS / SWFWMD</t>
  </si>
  <si>
    <t xml:space="preserve">FL Lake Seminole = man-made Pinellas reservoir</t>
  </si>
  <si>
    <t xml:space="preserve">Crescent Lake</t>
  </si>
  <si>
    <t xml:space="preserve">Jesup</t>
  </si>
  <si>
    <t xml:space="preserve">Natural, structure-influenced</t>
  </si>
  <si>
    <t xml:space="preserve">Lochloosa</t>
  </si>
  <si>
    <t xml:space="preserve">GA</t>
  </si>
  <si>
    <t xml:space="preserve">Lanier (Sidney Lanier)</t>
  </si>
  <si>
    <t xml:space="preserve">USACE Mobile (Buford)</t>
  </si>
  <si>
    <t xml:space="preserve">water.sam.usace.army.mil</t>
  </si>
  <si>
    <t xml:space="preserve">Hartwell</t>
  </si>
  <si>
    <t xml:space="preserve">USACE Savannah</t>
  </si>
  <si>
    <t xml:space="preserve">water.sas.usace.army.mil</t>
  </si>
  <si>
    <t xml:space="preserve">Savannah R.</t>
  </si>
  <si>
    <t xml:space="preserve">Clarks Hill / J.S. Thurmond</t>
  </si>
  <si>
    <t xml:space="preserve">Oconee</t>
  </si>
  <si>
    <t xml:space="preserve">Georgia Power (Wallace)</t>
  </si>
  <si>
    <t xml:space="preserve">georgiapowerlakes.com / lakes.southernco.com</t>
  </si>
  <si>
    <t xml:space="preserve">Oconee R.</t>
  </si>
  <si>
    <t xml:space="preserve">Sinclair</t>
  </si>
  <si>
    <t xml:space="preserve">Georgia Power (Sinclair)</t>
  </si>
  <si>
    <t xml:space="preserve">georgiapowerlakes.com/oconeesinclair</t>
  </si>
  <si>
    <t xml:space="preserve">West Point</t>
  </si>
  <si>
    <t xml:space="preserve">Allatoona</t>
  </si>
  <si>
    <t xml:space="preserve">Etowah R.</t>
  </si>
  <si>
    <t xml:space="preserve">USACE Mobile (Jim Woodruff)</t>
  </si>
  <si>
    <t xml:space="preserve">Flint/Chattahoochee</t>
  </si>
  <si>
    <t xml:space="preserve">Carters</t>
  </si>
  <si>
    <t xml:space="preserve">Deepest reservoir in GA</t>
  </si>
  <si>
    <t xml:space="preserve">Blackshear</t>
  </si>
  <si>
    <t xml:space="preserve">Crisp County Power Comm.</t>
  </si>
  <si>
    <t xml:space="preserve">USGS Flint R.</t>
  </si>
  <si>
    <t xml:space="preserve">Non-federal hydro dam</t>
  </si>
  <si>
    <t xml:space="preserve">Walter F. George / Eufaula</t>
  </si>
  <si>
    <t xml:space="preserve">Burton</t>
  </si>
  <si>
    <t xml:space="preserve">Georgia Power (Tallulah R.)</t>
  </si>
  <si>
    <t xml:space="preserve">lakes.southernco.com</t>
  </si>
  <si>
    <t xml:space="preserve">Tallulah Falls hydro chain</t>
  </si>
  <si>
    <t xml:space="preserve">Russell (R.B. Russell)</t>
  </si>
  <si>
    <t xml:space="preserve">HI</t>
  </si>
  <si>
    <t xml:space="preserve">Lake Waiau</t>
  </si>
  <si>
    <t xml:space="preserve">none (natural alpine)</t>
  </si>
  <si>
    <t xml:space="preserve">Small natural lake on Mauna Kea</t>
  </si>
  <si>
    <t xml:space="preserve">Halulu Lake (Niihau)</t>
  </si>
  <si>
    <t xml:space="preserve">none (natural playa)</t>
  </si>
  <si>
    <t xml:space="preserve">Largest natural lake in HI; ephemeral</t>
  </si>
  <si>
    <t xml:space="preserve">Wilson Lake / Kaelepulu Pond</t>
  </si>
  <si>
    <t xml:space="preserve">none (coastal pond)</t>
  </si>
  <si>
    <t xml:space="preserve">Enchanted Lake, Kailua; tidal/wetland</t>
  </si>
  <si>
    <t xml:space="preserve">Nuuanu Reservoir</t>
  </si>
  <si>
    <t xml:space="preserve">Honolulu Board of Water Supply</t>
  </si>
  <si>
    <t xml:space="preserve">Nuuanu Dam supply reservoir</t>
  </si>
  <si>
    <t xml:space="preserve">Waita Reservoir</t>
  </si>
  <si>
    <t xml:space="preserve">Grove Farm (Kauai)</t>
  </si>
  <si>
    <t xml:space="preserve">Largest reservoir in HI; private irrigation</t>
  </si>
  <si>
    <t xml:space="preserve">Puu Loa Reservoir</t>
  </si>
  <si>
    <t xml:space="preserve">Private irrigation (Kauai)</t>
  </si>
  <si>
    <t xml:space="preserve">Small plantation irrigation reservoir</t>
  </si>
  <si>
    <t xml:space="preserve">Waiakea Pond</t>
  </si>
  <si>
    <t xml:space="preserve">none (estuarine)</t>
  </si>
  <si>
    <t xml:space="preserve">Brackish spring-fed pond, Hilo</t>
  </si>
  <si>
    <t xml:space="preserve">Waimaluhia Reservoir</t>
  </si>
  <si>
    <t xml:space="preserve">USACE Honolulu (Hoomaluhia)</t>
  </si>
  <si>
    <t xml:space="preserve">USACE flood-control; no public feed</t>
  </si>
  <si>
    <t xml:space="preserve">Koele ponds (Lanai)</t>
  </si>
  <si>
    <t xml:space="preserve">Private (former plantation)</t>
  </si>
  <si>
    <t xml:space="preserve">Tiny man-made ponds</t>
  </si>
  <si>
    <t xml:space="preserve">ID</t>
  </si>
  <si>
    <t xml:space="preserve">Lake Pend Oreille</t>
  </si>
  <si>
    <t xml:space="preserve">USACE Seattle (Albeni Falls)</t>
  </si>
  <si>
    <t xml:space="preserve">water.usace.army.mil/overview/nws</t>
  </si>
  <si>
    <t xml:space="preserve">Natural lake, dam-regulated outlet</t>
  </si>
  <si>
    <t xml:space="preserve">Coeur d'Alene</t>
  </si>
  <si>
    <t xml:space="preserve">Avista (Post Falls Dam)</t>
  </si>
  <si>
    <t xml:space="preserve">waterservices.usgs.gov</t>
  </si>
  <si>
    <t xml:space="preserve">Natural; summer level held by dam</t>
  </si>
  <si>
    <t xml:space="preserve">Priest Lake</t>
  </si>
  <si>
    <t xml:space="preserve">State (outlet dam)</t>
  </si>
  <si>
    <t xml:space="preserve">Natural lake with outlet control dam</t>
  </si>
  <si>
    <t xml:space="preserve">Bear Lake</t>
  </si>
  <si>
    <t xml:space="preserve">PacifiCorp (Lifton)</t>
  </si>
  <si>
    <t xml:space="preserve">Natural lake, heavily regulated</t>
  </si>
  <si>
    <t xml:space="preserve">American Falls Reservoir</t>
  </si>
  <si>
    <t xml:space="preserve">USBR (Hydromet/RISE)</t>
  </si>
  <si>
    <t xml:space="preserve">RISE data.usbr.gov / usbr.gov/pn/hydromet</t>
  </si>
  <si>
    <t xml:space="preserve">Snake River storage</t>
  </si>
  <si>
    <t xml:space="preserve">Lake Cascade</t>
  </si>
  <si>
    <t xml:space="preserve">RISE data.usbr.gov / hydromet</t>
  </si>
  <si>
    <t xml:space="preserve">Cascade Dam, N. Fork Payette</t>
  </si>
  <si>
    <t xml:space="preserve">Dworshak Reservoir</t>
  </si>
  <si>
    <t xml:space="preserve">USACE Walla Walla</t>
  </si>
  <si>
    <t xml:space="preserve">water.usace.army.mil/overview/nww</t>
  </si>
  <si>
    <t xml:space="preserve">N. Fork Clearwater</t>
  </si>
  <si>
    <t xml:space="preserve">Payette Lake</t>
  </si>
  <si>
    <t xml:space="preserve">Local (McCall outlet dam)</t>
  </si>
  <si>
    <t xml:space="preserve">Natural glacial lake, small outlet dam</t>
  </si>
  <si>
    <t xml:space="preserve">Redfish Lake</t>
  </si>
  <si>
    <t xml:space="preserve">none/minor outlet</t>
  </si>
  <si>
    <t xml:space="preserve">Lucky Peak Lake</t>
  </si>
  <si>
    <t xml:space="preserve">water.usace.army.mil/overview/nww + USBR Hydromet</t>
  </si>
  <si>
    <t xml:space="preserve">Boise River</t>
  </si>
  <si>
    <t xml:space="preserve">Henrys Lake</t>
  </si>
  <si>
    <t xml:space="preserve">Irrigation dist. (outlet dam)</t>
  </si>
  <si>
    <t xml:space="preserve">Natural lake with irrigation outlet dam</t>
  </si>
  <si>
    <t xml:space="preserve">Palisades Reservoir</t>
  </si>
  <si>
    <t xml:space="preserve">Snake River</t>
  </si>
  <si>
    <t xml:space="preserve">Anderson Ranch Reservoir</t>
  </si>
  <si>
    <t xml:space="preserve">S. Fork Boise River</t>
  </si>
  <si>
    <t xml:space="preserve">C.J. Strike Reservoir</t>
  </si>
  <si>
    <t xml:space="preserve">Idaho Power</t>
  </si>
  <si>
    <t xml:space="preserve">waterservices.usgs.gov; Idaho Power flows</t>
  </si>
  <si>
    <t xml:space="preserve">Idaho Power dam; no open API</t>
  </si>
  <si>
    <t xml:space="preserve">IL</t>
  </si>
  <si>
    <t xml:space="preserve">Lake Michigan</t>
  </si>
  <si>
    <t xml:space="preserve">NOAA/USACE (Great Lake)</t>
  </si>
  <si>
    <t xml:space="preserve">NOAA GLERL / USACE-LRE water levels</t>
  </si>
  <si>
    <t xml:space="preserve">NDBC buoys + NOAA GLSEA (daily satellite)</t>
  </si>
  <si>
    <t xml:space="preserve">Natural Great Lake</t>
  </si>
  <si>
    <t xml:space="preserve">Carlyle Lake</t>
  </si>
  <si>
    <t xml:space="preserve">USACE St. Louis (MVS)</t>
  </si>
  <si>
    <t xml:space="preserve">water.usace.army.mil/overview/mvs</t>
  </si>
  <si>
    <t xml:space="preserve">Kaskaskia River reservoir</t>
  </si>
  <si>
    <t xml:space="preserve">Rend Lake</t>
  </si>
  <si>
    <t xml:space="preserve">Big Muddy River reservoir</t>
  </si>
  <si>
    <t xml:space="preserve">Lake Shelbyville</t>
  </si>
  <si>
    <t xml:space="preserve">Crab Orchard Lake</t>
  </si>
  <si>
    <t xml:space="preserve">USFWS (Crab Orchard NWR)</t>
  </si>
  <si>
    <t xml:space="preserve">Man-made refuge reservoir</t>
  </si>
  <si>
    <t xml:space="preserve">Lake of Egypt</t>
  </si>
  <si>
    <t xml:space="preserve">So. IL Power Cooperative</t>
  </si>
  <si>
    <t xml:space="preserve">Private cooling reservoir</t>
  </si>
  <si>
    <t xml:space="preserve">Chain O'Lakes</t>
  </si>
  <si>
    <t xml:space="preserve">IDNR (Stratton/McHenry Dam)</t>
  </si>
  <si>
    <t xml:space="preserve">waterservices.usgs.gov (Fox R at Stratton)</t>
  </si>
  <si>
    <t xml:space="preserve">Natural glacial lakes, dam-regulated</t>
  </si>
  <si>
    <t xml:space="preserve">Fox Lake</t>
  </si>
  <si>
    <t xml:space="preserve">IDNR (Chain O'Lakes)</t>
  </si>
  <si>
    <t xml:space="preserve">Natural glacial lake, dam-regulated</t>
  </si>
  <si>
    <t xml:space="preserve">Lake Springfield</t>
  </si>
  <si>
    <t xml:space="preserve">City Water Light &amp; Power</t>
  </si>
  <si>
    <t xml:space="preserve">Municipal reservoir (Spaulding Dam)</t>
  </si>
  <si>
    <t xml:space="preserve">Clinton Lake</t>
  </si>
  <si>
    <t xml:space="preserve">Utility (Clinton Power Station)</t>
  </si>
  <si>
    <t xml:space="preserve">Man-made cooling reservoir</t>
  </si>
  <si>
    <t xml:space="preserve">Devil's Kitchen Lake</t>
  </si>
  <si>
    <t xml:space="preserve">Rice Lake</t>
  </si>
  <si>
    <t xml:space="preserve">IDNR (Illinois R backwater)</t>
  </si>
  <si>
    <t xml:space="preserve">waterservices.usgs.gov (Illinois R)</t>
  </si>
  <si>
    <t xml:space="preserve">Natural floodplain/backwater lake</t>
  </si>
  <si>
    <t xml:space="preserve">Sangchris Lake</t>
  </si>
  <si>
    <t xml:space="preserve">Utility (Kincaid plant)</t>
  </si>
  <si>
    <t xml:space="preserve">IN</t>
  </si>
  <si>
    <t xml:space="preserve">Lake Wawasee</t>
  </si>
  <si>
    <t xml:space="preserve">none (natural glacial)</t>
  </si>
  <si>
    <t xml:space="preserve">Largest natural lake in IN</t>
  </si>
  <si>
    <t xml:space="preserve">Monroe Lake</t>
  </si>
  <si>
    <t xml:space="preserve">USACE Louisville (LRL)</t>
  </si>
  <si>
    <t xml:space="preserve">water.usace.army.mil/overview/lrl</t>
  </si>
  <si>
    <t xml:space="preserve">Salt Creek reservoir</t>
  </si>
  <si>
    <t xml:space="preserve">Patoka Lake</t>
  </si>
  <si>
    <t xml:space="preserve">Patoka River reservoir</t>
  </si>
  <si>
    <t xml:space="preserve">Lake Freeman</t>
  </si>
  <si>
    <t xml:space="preserve">NIPSCO (Oakdale Dam)</t>
  </si>
  <si>
    <t xml:space="preserve">waterservices.usgs.gov (Tippecanoe R)</t>
  </si>
  <si>
    <t xml:space="preserve">Hydro impoundment</t>
  </si>
  <si>
    <t xml:space="preserve">Lake Shafer</t>
  </si>
  <si>
    <t xml:space="preserve">NIPSCO (Norway Dam)</t>
  </si>
  <si>
    <t xml:space="preserve">Geist Reservoir</t>
  </si>
  <si>
    <t xml:space="preserve">Citizens Energy Group</t>
  </si>
  <si>
    <t xml:space="preserve">Municipal water-supply reservoir</t>
  </si>
  <si>
    <t xml:space="preserve">Eagle Creek Reservoir</t>
  </si>
  <si>
    <t xml:space="preserve">Citizens Energy / Indianapolis</t>
  </si>
  <si>
    <t xml:space="preserve">Municipal water-supply/flood reservoir</t>
  </si>
  <si>
    <t xml:space="preserve">Brookville Lake</t>
  </si>
  <si>
    <t xml:space="preserve">Whitewater River reservoir</t>
  </si>
  <si>
    <t xml:space="preserve">Cagles Mill Lake</t>
  </si>
  <si>
    <t xml:space="preserve">Cataract Lake, Mill Creek</t>
  </si>
  <si>
    <t xml:space="preserve">Tippecanoe Lake</t>
  </si>
  <si>
    <t xml:space="preserve">Deepest natural lake in IN</t>
  </si>
  <si>
    <t xml:space="preserve">Salamonie Lake</t>
  </si>
  <si>
    <t xml:space="preserve">Salamonie River reservoir</t>
  </si>
  <si>
    <t xml:space="preserve">Mississinewa Lake</t>
  </si>
  <si>
    <t xml:space="preserve">Mississinewa River reservoir</t>
  </si>
  <si>
    <t xml:space="preserve">Cecil M. Harden Lake</t>
  </si>
  <si>
    <t xml:space="preserve">Raccoon Lake, Raccoon Creek</t>
  </si>
  <si>
    <t xml:space="preserve">IA</t>
  </si>
  <si>
    <t xml:space="preserve">Spirit Lake</t>
  </si>
  <si>
    <t xml:space="preserve">Largest natural lake in IA; minor weir</t>
  </si>
  <si>
    <t xml:space="preserve">West Okoboji</t>
  </si>
  <si>
    <t xml:space="preserve">East Okoboji</t>
  </si>
  <si>
    <t xml:space="preserve">none (natural)</t>
  </si>
  <si>
    <t xml:space="preserve">Natural lake, small outlet control</t>
  </si>
  <si>
    <t xml:space="preserve">Storm Lake</t>
  </si>
  <si>
    <t xml:space="preserve">Rathbun Lake</t>
  </si>
  <si>
    <t xml:space="preserve">USACE Rock Island (MVR)</t>
  </si>
  <si>
    <t xml:space="preserve">water.usace.army.mil/overview/mvr</t>
  </si>
  <si>
    <t xml:space="preserve">Chariton River reservoir</t>
  </si>
  <si>
    <t xml:space="preserve">Saylorville Lake</t>
  </si>
  <si>
    <t xml:space="preserve">Des Moines River reservoir</t>
  </si>
  <si>
    <t xml:space="preserve">Lake Red Rock</t>
  </si>
  <si>
    <t xml:space="preserve">Largest lake in IA; Des Moines R.</t>
  </si>
  <si>
    <t xml:space="preserve">Coralville Lake</t>
  </si>
  <si>
    <t xml:space="preserve">rivergages.mvr.usace.army.mil</t>
  </si>
  <si>
    <t xml:space="preserve">Iowa River reservoir</t>
  </si>
  <si>
    <t xml:space="preserve">Big Creek Lake</t>
  </si>
  <si>
    <t xml:space="preserve">USACE/IaDNR (aux to Saylorville)</t>
  </si>
  <si>
    <t xml:space="preserve">Man-made state rec reservoir</t>
  </si>
  <si>
    <t xml:space="preserve">Lake Macbride</t>
  </si>
  <si>
    <t xml:space="preserve">Iowa DNR</t>
  </si>
  <si>
    <t xml:space="preserve">State-park reservoir; backs to Coralville</t>
  </si>
  <si>
    <t xml:space="preserve">Black Hawk Lake</t>
  </si>
  <si>
    <t xml:space="preserve">Natural glacial lake, minor outlet</t>
  </si>
  <si>
    <t xml:space="preserve">KS</t>
  </si>
  <si>
    <t xml:space="preserve">Milford Lake</t>
  </si>
  <si>
    <t xml:space="preserve">USACE Kansas City (NWK)</t>
  </si>
  <si>
    <t xml:space="preserve">water.usace.army.mil/office/nwk</t>
  </si>
  <si>
    <t xml:space="preserve">Republican R.</t>
  </si>
  <si>
    <t xml:space="preserve">Tuttle Creek Lake</t>
  </si>
  <si>
    <t xml:space="preserve">Big Blue R.</t>
  </si>
  <si>
    <t xml:space="preserve">Cheney Reservoir</t>
  </si>
  <si>
    <t xml:space="preserve">USBR (Wichita supply)</t>
  </si>
  <si>
    <t xml:space="preserve">Reclamation RISE data.usbr.gov</t>
  </si>
  <si>
    <t xml:space="preserve">Reclamation dam</t>
  </si>
  <si>
    <t xml:space="preserve">Perry Lake</t>
  </si>
  <si>
    <t xml:space="preserve">Delaware R.</t>
  </si>
  <si>
    <t xml:space="preserve">Wakarusa R.</t>
  </si>
  <si>
    <t xml:space="preserve">Wilson Lake</t>
  </si>
  <si>
    <t xml:space="preserve">Saline R.</t>
  </si>
  <si>
    <t xml:space="preserve">Kanopolis Lake</t>
  </si>
  <si>
    <t xml:space="preserve">Smoky Hill R.</t>
  </si>
  <si>
    <t xml:space="preserve">Cedar Bluff Reservoir</t>
  </si>
  <si>
    <t xml:space="preserve">USBR</t>
  </si>
  <si>
    <t xml:space="preserve">El Dorado Lake</t>
  </si>
  <si>
    <t xml:space="preserve">USACE Tulsa (SWT)</t>
  </si>
  <si>
    <t xml:space="preserve">swt-wc.usace.army.mil/ELDR</t>
  </si>
  <si>
    <t xml:space="preserve">Walnut R.</t>
  </si>
  <si>
    <t xml:space="preserve">Melvern Lake</t>
  </si>
  <si>
    <t xml:space="preserve">Marais des Cygnes R.</t>
  </si>
  <si>
    <t xml:space="preserve">Pomona Lake</t>
  </si>
  <si>
    <t xml:space="preserve">110-Mile Creek</t>
  </si>
  <si>
    <t xml:space="preserve">John Redmond Reservoir</t>
  </si>
  <si>
    <t xml:space="preserve">water.usace.army.mil/office/swt</t>
  </si>
  <si>
    <t xml:space="preserve">Neosho R.</t>
  </si>
  <si>
    <t xml:space="preserve">Marion Reservoir</t>
  </si>
  <si>
    <t xml:space="preserve">Cottonwood R.</t>
  </si>
  <si>
    <t xml:space="preserve">Waconda Lake</t>
  </si>
  <si>
    <t xml:space="preserve">USBR (Glen Elder)</t>
  </si>
  <si>
    <t xml:space="preserve">Solomon R.</t>
  </si>
  <si>
    <t xml:space="preserve">KY</t>
  </si>
  <si>
    <t xml:space="preserve">Kentucky Lake</t>
  </si>
  <si>
    <t xml:space="preserve">TVA (Kentucky Dam)</t>
  </si>
  <si>
    <t xml:space="preserve">tva.com/environment/lake-levels/kentucky</t>
  </si>
  <si>
    <t xml:space="preserve">Lake Barkley</t>
  </si>
  <si>
    <t xml:space="preserve">USACE Nashville (coord. TVA)</t>
  </si>
  <si>
    <t xml:space="preserve">tva.com/.../barkley; USACE Nashville</t>
  </si>
  <si>
    <t xml:space="preserve">Cumberland R.; canal to KY Lake</t>
  </si>
  <si>
    <t xml:space="preserve">Lake Cumberland</t>
  </si>
  <si>
    <t xml:space="preserve">USACE Nashville (Wolf Creek)</t>
  </si>
  <si>
    <t xml:space="preserve">water.usace.army.mil/office/lrn</t>
  </si>
  <si>
    <t xml:space="preserve">Cumberland R.</t>
  </si>
  <si>
    <t xml:space="preserve">Dale Hollow Lake</t>
  </si>
  <si>
    <t xml:space="preserve">USACE Nashville</t>
  </si>
  <si>
    <t xml:space="preserve">Obey R.</t>
  </si>
  <si>
    <t xml:space="preserve">Barren River Lake</t>
  </si>
  <si>
    <t xml:space="preserve">water.usace.army.mil/office/lrl</t>
  </si>
  <si>
    <t xml:space="preserve">Barren R.</t>
  </si>
  <si>
    <t xml:space="preserve">Nolin River Lake</t>
  </si>
  <si>
    <t xml:space="preserve">Nolin R.</t>
  </si>
  <si>
    <t xml:space="preserve">Rough River Lake</t>
  </si>
  <si>
    <t xml:space="preserve">Rough R.</t>
  </si>
  <si>
    <t xml:space="preserve">Green River Lake</t>
  </si>
  <si>
    <t xml:space="preserve">Green R.</t>
  </si>
  <si>
    <t xml:space="preserve">Laurel River Lake</t>
  </si>
  <si>
    <t xml:space="preserve">USACE Nashville (LRN)</t>
  </si>
  <si>
    <t xml:space="preserve">Laurel R.</t>
  </si>
  <si>
    <t xml:space="preserve">Cave Run Lake</t>
  </si>
  <si>
    <t xml:space="preserve">USACE Huntington (LRH)</t>
  </si>
  <si>
    <t xml:space="preserve">water.usace.army.mil/office/lrh</t>
  </si>
  <si>
    <t xml:space="preserve">Licking R.</t>
  </si>
  <si>
    <t xml:space="preserve">Herrington Lake</t>
  </si>
  <si>
    <t xml:space="preserve">Kentucky Utilities (Dix Dam)</t>
  </si>
  <si>
    <t xml:space="preserve">KU lake-level page; waterservices.usgs.gov</t>
  </si>
  <si>
    <t xml:space="preserve">Private hydro; no open API</t>
  </si>
  <si>
    <t xml:space="preserve">Taylorsville Lake</t>
  </si>
  <si>
    <t xml:space="preserve">Buckhorn Lake</t>
  </si>
  <si>
    <t xml:space="preserve">M. Fork Kentucky R.</t>
  </si>
  <si>
    <t xml:space="preserve">LA</t>
  </si>
  <si>
    <t xml:space="preserve">Lake Pontchartrain</t>
  </si>
  <si>
    <t xml:space="preserve">Tidal estuary (natural)</t>
  </si>
  <si>
    <t xml:space="preserve">Brackish lagoon; no dam</t>
  </si>
  <si>
    <t xml:space="preserve">Lake Maurepas</t>
  </si>
  <si>
    <t xml:space="preserve">Natural</t>
  </si>
  <si>
    <t xml:space="preserve">Connected to Pontchartrain</t>
  </si>
  <si>
    <t xml:space="preserve">Toledo Bend Reservoir</t>
  </si>
  <si>
    <t xml:space="preserve">Sabine River Authority (TX &amp; LA)</t>
  </si>
  <si>
    <t xml:space="preserve">sratx.org; waterdatafortexas.org</t>
  </si>
  <si>
    <t xml:space="preserve">Sabine R. hydro reservoir</t>
  </si>
  <si>
    <t xml:space="preserve">Caddo Lake</t>
  </si>
  <si>
    <t xml:space="preserve">Caddo Levee Dist. (control dam)</t>
  </si>
  <si>
    <t xml:space="preserve">Raft-formed lake; 1914 dam</t>
  </si>
  <si>
    <t xml:space="preserve">Natural (Atchafalaya Basin)</t>
  </si>
  <si>
    <t xml:space="preserve">Basin-influenced by USACE</t>
  </si>
  <si>
    <t xml:space="preserve">White Lake</t>
  </si>
  <si>
    <t xml:space="preserve">Natural coastal lake</t>
  </si>
  <si>
    <t xml:space="preserve">Marsh lake</t>
  </si>
  <si>
    <t xml:space="preserve">Calcasieu Lake</t>
  </si>
  <si>
    <t xml:space="preserve">Natural estuary (tidal)</t>
  </si>
  <si>
    <t xml:space="preserve">Brackish; ship channel</t>
  </si>
  <si>
    <t xml:space="preserve">Sabine Lake</t>
  </si>
  <si>
    <t xml:space="preserve">TX/LA border estuary</t>
  </si>
  <si>
    <t xml:space="preserve">Lake Bistineau</t>
  </si>
  <si>
    <t xml:space="preserve">LA Dept. Wildlife &amp; Fisheries</t>
  </si>
  <si>
    <t xml:space="preserve">Raft-origin, now dam-controlled</t>
  </si>
  <si>
    <t xml:space="preserve">Cross Lake</t>
  </si>
  <si>
    <t xml:space="preserve">City of Shreveport</t>
  </si>
  <si>
    <t xml:space="preserve">Municipal; no public feed</t>
  </si>
  <si>
    <t xml:space="preserve">Reservoir dam</t>
  </si>
  <si>
    <t xml:space="preserve">Catahoula Lake</t>
  </si>
  <si>
    <t xml:space="preserve">Natural + USACE diversion</t>
  </si>
  <si>
    <t xml:space="preserve">Catahoula Diversion Canal control</t>
  </si>
  <si>
    <t xml:space="preserve">Lake D'Arbonne</t>
  </si>
  <si>
    <t xml:space="preserve">LA DWF / state park</t>
  </si>
  <si>
    <t xml:space="preserve">State-managed impoundment</t>
  </si>
  <si>
    <t xml:space="preserve">False River</t>
  </si>
  <si>
    <t xml:space="preserve">Natural oxbow</t>
  </si>
  <si>
    <t xml:space="preserve">Local; parish-managed</t>
  </si>
  <si>
    <t xml:space="preserve">Oxbow lake; small control</t>
  </si>
  <si>
    <t xml:space="preserve">Henderson Lake</t>
  </si>
  <si>
    <t xml:space="preserve">USACE basin water control</t>
  </si>
  <si>
    <t xml:space="preserve">ME</t>
  </si>
  <si>
    <t xml:space="preserve">Moosehead Lake</t>
  </si>
  <si>
    <t xml:space="preserve">Brookfield Renewable</t>
  </si>
  <si>
    <t xml:space="preserve">Glacial lake; Kennebec outlet dams</t>
  </si>
  <si>
    <t xml:space="preserve">Sebago Lake</t>
  </si>
  <si>
    <t xml:space="preserve">Brookfield (Eel Weir Dam)</t>
  </si>
  <si>
    <t xml:space="preserve">Presumpscot R. outlet</t>
  </si>
  <si>
    <t xml:space="preserve">Chesuncook Lake</t>
  </si>
  <si>
    <t xml:space="preserve">Brookfield (Ripogenus Dam)</t>
  </si>
  <si>
    <t xml:space="preserve">Heavily controlled; W. Br. Penobscot</t>
  </si>
  <si>
    <t xml:space="preserve">Flagstaff Lake</t>
  </si>
  <si>
    <t xml:space="preserve">Brookfield (Long Falls Dam)</t>
  </si>
  <si>
    <t xml:space="preserve">Man-made Dead R. reservoir</t>
  </si>
  <si>
    <t xml:space="preserve">Rangeley Lake</t>
  </si>
  <si>
    <t xml:space="preserve">Brookfield (outlet dam)</t>
  </si>
  <si>
    <t xml:space="preserve">Hydro-op; no open API</t>
  </si>
  <si>
    <t xml:space="preserve">Glacial lake w/ outlet dam</t>
  </si>
  <si>
    <t xml:space="preserve">Mooselookmeguntic Lake</t>
  </si>
  <si>
    <t xml:space="preserve">Brookfield (Upper Dam)</t>
  </si>
  <si>
    <t xml:space="preserve">Natural lake, outlet control</t>
  </si>
  <si>
    <t xml:space="preserve">West Grand Lake</t>
  </si>
  <si>
    <t xml:space="preserve">Woodland Pulp/Brookfield</t>
  </si>
  <si>
    <t xml:space="preserve">Natural lake, outlet dam</t>
  </si>
  <si>
    <t xml:space="preserve">Chamberlain Lake</t>
  </si>
  <si>
    <t xml:space="preserve">State (Allagash; Telos/Lock)</t>
  </si>
  <si>
    <t xml:space="preserve">Remote; no feed</t>
  </si>
  <si>
    <t xml:space="preserve">Glacial; historic log dams</t>
  </si>
  <si>
    <t xml:space="preserve">Schoodic Lake</t>
  </si>
  <si>
    <t xml:space="preserve">Natural (small outlet dam)</t>
  </si>
  <si>
    <t xml:space="preserve">No feed</t>
  </si>
  <si>
    <t xml:space="preserve">Glacial lake</t>
  </si>
  <si>
    <t xml:space="preserve">Sebec Lake</t>
  </si>
  <si>
    <t xml:space="preserve">Natural (outlet dam)</t>
  </si>
  <si>
    <t xml:space="preserve">Glacial; small dam</t>
  </si>
  <si>
    <t xml:space="preserve">Long Lake</t>
  </si>
  <si>
    <t xml:space="preserve">China Lake</t>
  </si>
  <si>
    <t xml:space="preserve">Water-supply lake (Augusta)</t>
  </si>
  <si>
    <t xml:space="preserve">Great Pond (Belgrade)</t>
  </si>
  <si>
    <t xml:space="preserve">Belgrade Lakes chain</t>
  </si>
  <si>
    <t xml:space="preserve">Damariscotta Lake</t>
  </si>
  <si>
    <t xml:space="preserve">Natural (Damariscotta Mills)</t>
  </si>
  <si>
    <t xml:space="preserve">Glacial; fishway dam</t>
  </si>
  <si>
    <t xml:space="preserve">MD</t>
  </si>
  <si>
    <t xml:space="preserve">Deep Creek Lake</t>
  </si>
  <si>
    <t xml:space="preserve">Brookfield level line; waterservices.usgs.gov</t>
  </si>
  <si>
    <t xml:space="preserve">MD DNR owns bed; hydro dam</t>
  </si>
  <si>
    <t xml:space="preserve">Liberty Reservoir</t>
  </si>
  <si>
    <t xml:space="preserve">Baltimore City DPW</t>
  </si>
  <si>
    <t xml:space="preserve">Municipal; no public API</t>
  </si>
  <si>
    <t xml:space="preserve">Patapsco R.</t>
  </si>
  <si>
    <t xml:space="preserve">Prettyboy Reservoir</t>
  </si>
  <si>
    <t xml:space="preserve">Gunpowder Falls</t>
  </si>
  <si>
    <t xml:space="preserve">Loch Raven Reservoir</t>
  </si>
  <si>
    <t xml:space="preserve">waterservices.usgs.gov (tailwater)</t>
  </si>
  <si>
    <t xml:space="preserve">Triadelphia Reservoir</t>
  </si>
  <si>
    <t xml:space="preserve">WSSC Water</t>
  </si>
  <si>
    <t xml:space="preserve">Patuxent R.</t>
  </si>
  <si>
    <t xml:space="preserve">Rocky Gorge Reservoir</t>
  </si>
  <si>
    <t xml:space="preserve">WSSC Water (Duckett Dam)</t>
  </si>
  <si>
    <t xml:space="preserve">Piney Run Lake</t>
  </si>
  <si>
    <t xml:space="preserve">Carroll County</t>
  </si>
  <si>
    <t xml:space="preserve">County park; no feed</t>
  </si>
  <si>
    <t xml:space="preserve">Recreation reservoir</t>
  </si>
  <si>
    <t xml:space="preserve">Jennings Randolph Lake</t>
  </si>
  <si>
    <t xml:space="preserve">USACE Baltimore (NAB)</t>
  </si>
  <si>
    <t xml:space="preserve">water.usace.army.mil/office/nab</t>
  </si>
  <si>
    <t xml:space="preserve">N. Br. Potomac</t>
  </si>
  <si>
    <t xml:space="preserve">Youghiogheny River Lake</t>
  </si>
  <si>
    <t xml:space="preserve">USACE Pittsburgh (LRP)</t>
  </si>
  <si>
    <t xml:space="preserve">water.usace.army.mil/office/lrp</t>
  </si>
  <si>
    <t xml:space="preserve">Youghiogheny R.</t>
  </si>
  <si>
    <t xml:space="preserve">Lake Habeeb (Rocky Gap)</t>
  </si>
  <si>
    <t xml:space="preserve">MD DNR (state park)</t>
  </si>
  <si>
    <t xml:space="preserve">Rocky Gap Run dam</t>
  </si>
  <si>
    <t xml:space="preserve">Savage River Reservoir</t>
  </si>
  <si>
    <t xml:space="preserve">Upper Potomac River Comm.</t>
  </si>
  <si>
    <t xml:space="preserve">waterservices.usgs.gov (Savage R. nr Barton)</t>
  </si>
  <si>
    <t xml:space="preserve">Whitewater release dam</t>
  </si>
  <si>
    <t xml:space="preserve">Conowingo Reservoir</t>
  </si>
  <si>
    <t xml:space="preserve">Constellation Energy</t>
  </si>
  <si>
    <t xml:space="preserve">waterservices.usgs.gov (Conowingo)</t>
  </si>
  <si>
    <t xml:space="preserve">Susquehanna R. hydro pond</t>
  </si>
  <si>
    <t xml:space="preserve">MA</t>
  </si>
  <si>
    <t xml:space="preserve">Quabbin Reservoir</t>
  </si>
  <si>
    <t xml:space="preserve">MWRA / DCR (Winsor Dam)</t>
  </si>
  <si>
    <t xml:space="preserve">DCR elevation reports; mwra.com</t>
  </si>
  <si>
    <t xml:space="preserve">Boston water supply; no public API</t>
  </si>
  <si>
    <t xml:space="preserve">Wachusett Reservoir</t>
  </si>
  <si>
    <t xml:space="preserve">MWRA / DCR</t>
  </si>
  <si>
    <t xml:space="preserve">DCR/MWRA reports</t>
  </si>
  <si>
    <t xml:space="preserve">Boston water supply</t>
  </si>
  <si>
    <t xml:space="preserve">Webster Lake</t>
  </si>
  <si>
    <t xml:space="preserve">Local / DCR</t>
  </si>
  <si>
    <t xml:space="preserve">Natural pond w/ outlet dam</t>
  </si>
  <si>
    <t xml:space="preserve">Assawompset Pond</t>
  </si>
  <si>
    <t xml:space="preserve">New Bedford/Taunton water</t>
  </si>
  <si>
    <t xml:space="preserve">Largest natural MA pond; control dam</t>
  </si>
  <si>
    <t xml:space="preserve">Long Pond (Lakeville)</t>
  </si>
  <si>
    <t xml:space="preserve">New Bedford water supply</t>
  </si>
  <si>
    <t xml:space="preserve">Natural; Assawompset complex, control dam</t>
  </si>
  <si>
    <t xml:space="preserve">Onota Lake</t>
  </si>
  <si>
    <t xml:space="preserve">City of Pittsfield</t>
  </si>
  <si>
    <t xml:space="preserve">Natural basin impounded by dam</t>
  </si>
  <si>
    <t xml:space="preserve">Pontoosuc Lake</t>
  </si>
  <si>
    <t xml:space="preserve">Pittsfield/Lanesborough</t>
  </si>
  <si>
    <t xml:space="preserve">Man-made mill reservoir (1865)</t>
  </si>
  <si>
    <t xml:space="preserve">Lake Cochituate</t>
  </si>
  <si>
    <t xml:space="preserve">MA DCR (state park)</t>
  </si>
  <si>
    <t xml:space="preserve">Natural ponds; outlet dam</t>
  </si>
  <si>
    <t xml:space="preserve">Watuppa Ponds</t>
  </si>
  <si>
    <t xml:space="preserve">Fall River water dept</t>
  </si>
  <si>
    <t xml:space="preserve">Natural; water-supply control dam</t>
  </si>
  <si>
    <t xml:space="preserve">Congamond Lakes</t>
  </si>
  <si>
    <t xml:space="preserve">Natural glacial; outlet control dam</t>
  </si>
  <si>
    <t xml:space="preserve">Otis Reservoir</t>
  </si>
  <si>
    <t xml:space="preserve">MA DCR / local</t>
  </si>
  <si>
    <t xml:space="preserve">Man-made; annual drawdown</t>
  </si>
  <si>
    <t xml:space="preserve">Lake Quinsigamond</t>
  </si>
  <si>
    <t xml:space="preserve">Local</t>
  </si>
  <si>
    <t xml:space="preserve">Natural glacial; outlet dam</t>
  </si>
  <si>
    <t xml:space="preserve">MI</t>
  </si>
  <si>
    <t xml:space="preserve">Lake Superior</t>
  </si>
  <si>
    <t xml:space="preserve">IJC / USACE Detroit</t>
  </si>
  <si>
    <t xml:space="preserve">NOAA CO-OPS + USACE lake levels</t>
  </si>
  <si>
    <t xml:space="preserve">Natural; regulated outlet at Sault</t>
  </si>
  <si>
    <t xml:space="preserve">NOAA / USACE Detroit</t>
  </si>
  <si>
    <t xml:space="preserve">NOAA CO-OPS tidesandcurrents.noaa.gov</t>
  </si>
  <si>
    <t xml:space="preserve">Natural Great Lake; level gauges only</t>
  </si>
  <si>
    <t xml:space="preserve">Lake Huron</t>
  </si>
  <si>
    <t xml:space="preserve">NOAA CO-OPS</t>
  </si>
  <si>
    <t xml:space="preserve">Lake Erie</t>
  </si>
  <si>
    <t xml:space="preserve">Lake St. Clair</t>
  </si>
  <si>
    <t xml:space="preserve">Natural; connecting-channel gauges</t>
  </si>
  <si>
    <t xml:space="preserve">Houghton Lake</t>
  </si>
  <si>
    <t xml:space="preserve">Local (Reedsburg Dam)</t>
  </si>
  <si>
    <t xml:space="preserve">Largest MI inland lake; outlet dam</t>
  </si>
  <si>
    <t xml:space="preserve">Torch Lake</t>
  </si>
  <si>
    <t xml:space="preserve">Burt Lake</t>
  </si>
  <si>
    <t xml:space="preserve">Natural (Inland Waterway)</t>
  </si>
  <si>
    <t xml:space="preserve">Mullett Lake</t>
  </si>
  <si>
    <t xml:space="preserve">Gull Lake</t>
  </si>
  <si>
    <t xml:space="preserve">Higgins Lake</t>
  </si>
  <si>
    <t xml:space="preserve">Lake Charlevoix</t>
  </si>
  <si>
    <t xml:space="preserve">Elk Lake</t>
  </si>
  <si>
    <t xml:space="preserve">Natural (Chain of Lakes)</t>
  </si>
  <si>
    <t xml:space="preserve">Lake Gogebic</t>
  </si>
  <si>
    <t xml:space="preserve">Natural; outlet control dam</t>
  </si>
  <si>
    <t xml:space="preserve">MN</t>
  </si>
  <si>
    <t xml:space="preserve">IJC / USACE / NOAA</t>
  </si>
  <si>
    <t xml:space="preserve">Lake of the Woods</t>
  </si>
  <si>
    <t xml:space="preserve">Lake of the Woods Control Board</t>
  </si>
  <si>
    <t xml:space="preserve">LWCB / NWIS</t>
  </si>
  <si>
    <t xml:space="preserve">Natural; regulated outlet dams</t>
  </si>
  <si>
    <t xml:space="preserve">Red Lake</t>
  </si>
  <si>
    <t xml:space="preserve">Red Lake Band (outlet dam)</t>
  </si>
  <si>
    <t xml:space="preserve">Natural; low-head outlet dam</t>
  </si>
  <si>
    <t xml:space="preserve">Mille Lacs Lake</t>
  </si>
  <si>
    <t xml:space="preserve">Natural glacial</t>
  </si>
  <si>
    <t xml:space="preserve">Leech Lake</t>
  </si>
  <si>
    <t xml:space="preserve">USACE St. Paul (Leech Lake Dam)</t>
  </si>
  <si>
    <t xml:space="preserve">USACE Miss. Headwaters; NWIS</t>
  </si>
  <si>
    <t xml:space="preserve">Natural lake, USACE outlet dam</t>
  </si>
  <si>
    <t xml:space="preserve">Lake Winnibigoshish</t>
  </si>
  <si>
    <t xml:space="preserve">USACE St. Paul (Winnie Dam)</t>
  </si>
  <si>
    <t xml:space="preserve">Lake Vermilion</t>
  </si>
  <si>
    <t xml:space="preserve">Rainy Lake</t>
  </si>
  <si>
    <t xml:space="preserve">IJC / control board</t>
  </si>
  <si>
    <t xml:space="preserve">NWIS / IJC</t>
  </si>
  <si>
    <t xml:space="preserve">Natural; regulated at Int'l Falls</t>
  </si>
  <si>
    <t xml:space="preserve">Lake Minnetonka</t>
  </si>
  <si>
    <t xml:space="preserve">Local (Gray's Bay Dam)</t>
  </si>
  <si>
    <t xml:space="preserve">USACE St. Paul (Gull Lake Dam)</t>
  </si>
  <si>
    <t xml:space="preserve">Otter Tail Lake</t>
  </si>
  <si>
    <t xml:space="preserve">Lake Pepin</t>
  </si>
  <si>
    <t xml:space="preserve">NWIS (Mississippi R.)</t>
  </si>
  <si>
    <t xml:space="preserve">Natural river-widening</t>
  </si>
  <si>
    <t xml:space="preserve">Lake Bemidji</t>
  </si>
  <si>
    <t xml:space="preserve">Natural (Mississippi headwaters)</t>
  </si>
  <si>
    <t xml:space="preserve">White Bear Lake</t>
  </si>
  <si>
    <t xml:space="preserve">NWIS/DNR (landlocked)</t>
  </si>
  <si>
    <t xml:space="preserve">Natural; no outlet</t>
  </si>
  <si>
    <t xml:space="preserve">MS</t>
  </si>
  <si>
    <t xml:space="preserve">Ross Barnett Reservoir</t>
  </si>
  <si>
    <t xml:space="preserve">Pearl River Valley Water Supply Dist.</t>
  </si>
  <si>
    <t xml:space="preserve">NWIS; PRVWSD discharge notices</t>
  </si>
  <si>
    <t xml:space="preserve">Water-supply impoundment on Pearl R.</t>
  </si>
  <si>
    <t xml:space="preserve">Sardis Lake</t>
  </si>
  <si>
    <t xml:space="preserve">USACE Vicksburg (MVK)</t>
  </si>
  <si>
    <t xml:space="preserve">USACE MVK water data; NWIS</t>
  </si>
  <si>
    <t xml:space="preserve">Flood-control reservoir</t>
  </si>
  <si>
    <t xml:space="preserve">Grenada Lake</t>
  </si>
  <si>
    <t xml:space="preserve">Enid Lake</t>
  </si>
  <si>
    <t xml:space="preserve">Arkabutla Lake</t>
  </si>
  <si>
    <t xml:space="preserve">Pickwick Lake</t>
  </si>
  <si>
    <t xml:space="preserve">TVA (Pickwick Landing Dam)</t>
  </si>
  <si>
    <t xml:space="preserve">TVA lake info; NWIS</t>
  </si>
  <si>
    <t xml:space="preserve">TVA hydro reservoir</t>
  </si>
  <si>
    <t xml:space="preserve">Bay Springs Lake</t>
  </si>
  <si>
    <t xml:space="preserve">USACE Mobile (Tenn-Tom)</t>
  </si>
  <si>
    <t xml:space="preserve">water.sam.usace.army.mil; NWIS</t>
  </si>
  <si>
    <t xml:space="preserve">Tenn-Tom; Jamie Whitten L&amp;D</t>
  </si>
  <si>
    <t xml:space="preserve">Okatibbee Lake</t>
  </si>
  <si>
    <t xml:space="preserve">Columbus Lake</t>
  </si>
  <si>
    <t xml:space="preserve">Tenn-Tom; Stennis L&amp;D pool</t>
  </si>
  <si>
    <t xml:space="preserve">USACE Vicksburg (control struct.)</t>
  </si>
  <si>
    <t xml:space="preserve">NWIS / Muddy Bayou structure</t>
  </si>
  <si>
    <t xml:space="preserve">Natural oxbow; managed level</t>
  </si>
  <si>
    <t xml:space="preserve">Lake Washington</t>
  </si>
  <si>
    <t xml:space="preserve">Natural Mississippi oxbow</t>
  </si>
  <si>
    <t xml:space="preserve">Moon Lake</t>
  </si>
  <si>
    <t xml:space="preserve">MO</t>
  </si>
  <si>
    <t xml:space="preserve">Lake of the Ozarks</t>
  </si>
  <si>
    <t xml:space="preserve">Ameren Missouri (Bagnell Dam)</t>
  </si>
  <si>
    <t xml:space="preserve">ameren.com lake levels &amp; operations</t>
  </si>
  <si>
    <t xml:space="preserve">Hydro reservoir</t>
  </si>
  <si>
    <t xml:space="preserve">Table Rock Lake</t>
  </si>
  <si>
    <t xml:space="preserve">USACE Little Rock (SWL)</t>
  </si>
  <si>
    <t xml:space="preserve">swl-wc.usace.army.mil; NWIS</t>
  </si>
  <si>
    <t xml:space="preserve">Flood-control/hydro</t>
  </si>
  <si>
    <t xml:space="preserve">Truman Lake</t>
  </si>
  <si>
    <t xml:space="preserve">nwk-wc.usace.army.mil; NWIS</t>
  </si>
  <si>
    <t xml:space="preserve">Bull Shoals Lake</t>
  </si>
  <si>
    <t xml:space="preserve">Mark Twain Lake</t>
  </si>
  <si>
    <t xml:space="preserve">USACE MVS water data; NWIS</t>
  </si>
  <si>
    <t xml:space="preserve">Clarence Cannon Dam</t>
  </si>
  <si>
    <t xml:space="preserve">Stockton Lake</t>
  </si>
  <si>
    <t xml:space="preserve">USACE Kansas City</t>
  </si>
  <si>
    <t xml:space="preserve">Pomme de Terre Lake</t>
  </si>
  <si>
    <t xml:space="preserve">Lake Taneycomo</t>
  </si>
  <si>
    <t xml:space="preserve">Empire/Liberty (Ozark Beach)</t>
  </si>
  <si>
    <t xml:space="preserve">NWIS 07053820</t>
  </si>
  <si>
    <t xml:space="preserve">Table Rock tailwater; two-dam influence</t>
  </si>
  <si>
    <t xml:space="preserve">Clearwater Lake</t>
  </si>
  <si>
    <t xml:space="preserve">Wappapello Lake</t>
  </si>
  <si>
    <t xml:space="preserve">Smithville Lake</t>
  </si>
  <si>
    <t xml:space="preserve">Longview Lake</t>
  </si>
  <si>
    <t xml:space="preserve">MT</t>
  </si>
  <si>
    <t xml:space="preserve">Flathead Lake</t>
  </si>
  <si>
    <t xml:space="preserve">Energy Keepers Inc (SKQ/Kerr)</t>
  </si>
  <si>
    <t xml:space="preserve">Natural lake, level controlled by SKQ Dam</t>
  </si>
  <si>
    <t xml:space="preserve">Fort Peck Lake</t>
  </si>
  <si>
    <t xml:space="preserve">USACE (NWD/Omaha)</t>
  </si>
  <si>
    <t xml:space="preserve">nwd.usace.army.mil/mrwm data-feeds</t>
  </si>
  <si>
    <t xml:space="preserve">Missouri River mainstem reservoir</t>
  </si>
  <si>
    <t xml:space="preserve">Canyon Ferry Lake</t>
  </si>
  <si>
    <t xml:space="preserve">USBR (Great Plains)</t>
  </si>
  <si>
    <t xml:space="preserve">USBR Hydromet/RISE data.usbr.gov</t>
  </si>
  <si>
    <t xml:space="preserve">Missouri River</t>
  </si>
  <si>
    <t xml:space="preserve">Lake Koocanusa</t>
  </si>
  <si>
    <t xml:space="preserve">USACE (Seattle, Libby Dam)</t>
  </si>
  <si>
    <t xml:space="preserve">nwd.usace.army.mil / NWS</t>
  </si>
  <si>
    <t xml:space="preserve">Kootenai River</t>
  </si>
  <si>
    <t xml:space="preserve">Hebgen Lake</t>
  </si>
  <si>
    <t xml:space="preserve">NorthWestern Energy</t>
  </si>
  <si>
    <t xml:space="preserve">USGS NWIS; NW Energy postings</t>
  </si>
  <si>
    <t xml:space="preserve">Madison River; no public API</t>
  </si>
  <si>
    <t xml:space="preserve">Whitefish Lake</t>
  </si>
  <si>
    <t xml:space="preserve">Local (small outlet dam)</t>
  </si>
  <si>
    <t xml:space="preserve">Natural lake, minor outlet dam</t>
  </si>
  <si>
    <t xml:space="preserve">Georgetown Lake</t>
  </si>
  <si>
    <t xml:space="preserve">DNRC/NW Energy (Flint Creek)</t>
  </si>
  <si>
    <t xml:space="preserve">USGS NWIS if gaged</t>
  </si>
  <si>
    <t xml:space="preserve">Small impoundment</t>
  </si>
  <si>
    <t xml:space="preserve">Hungry Horse Reservoir</t>
  </si>
  <si>
    <t xml:space="preserve">S Fork Flathead</t>
  </si>
  <si>
    <t xml:space="preserve">Bighorn Lake</t>
  </si>
  <si>
    <t xml:space="preserve">USBR (Yellowtail Dam)</t>
  </si>
  <si>
    <t xml:space="preserve">Bighorn River</t>
  </si>
  <si>
    <t xml:space="preserve">Fresno Reservoir</t>
  </si>
  <si>
    <t xml:space="preserve">USBR (Milk River Project)</t>
  </si>
  <si>
    <t xml:space="preserve">USBR Hydromet data.usbr.gov</t>
  </si>
  <si>
    <t xml:space="preserve">Milk River</t>
  </si>
  <si>
    <t xml:space="preserve">Tiber Reservoir (Lake Elwell)</t>
  </si>
  <si>
    <t xml:space="preserve">Marias River</t>
  </si>
  <si>
    <t xml:space="preserve">Holter Lake</t>
  </si>
  <si>
    <t xml:space="preserve">NorthWestern Energy (Holter Dam)</t>
  </si>
  <si>
    <t xml:space="preserve">Missouri River hydro reservoir</t>
  </si>
  <si>
    <t xml:space="preserve">NE</t>
  </si>
  <si>
    <t xml:space="preserve">Lake McConaughy</t>
  </si>
  <si>
    <t xml:space="preserve">CNPPID (Kingsley Dam)</t>
  </si>
  <si>
    <t xml:space="preserve">cnppid.com/lake-river-data</t>
  </si>
  <si>
    <t xml:space="preserve">Dedicated lake/river data page</t>
  </si>
  <si>
    <t xml:space="preserve">Lewis and Clark Lake</t>
  </si>
  <si>
    <t xml:space="preserve">USACE (Gavins Point Dam)</t>
  </si>
  <si>
    <t xml:space="preserve">nwd.usace.army.mil/mrwm</t>
  </si>
  <si>
    <t xml:space="preserve">Missouri River mainstem</t>
  </si>
  <si>
    <t xml:space="preserve">Harlan County Lake</t>
  </si>
  <si>
    <t xml:space="preserve">USACE (Kansas City Dist)</t>
  </si>
  <si>
    <t xml:space="preserve">USACE / USBR Republican R</t>
  </si>
  <si>
    <t xml:space="preserve">Republican River</t>
  </si>
  <si>
    <t xml:space="preserve">Merritt Reservoir</t>
  </si>
  <si>
    <t xml:space="preserve">USBR (Ainsworth Unit)</t>
  </si>
  <si>
    <t xml:space="preserve">Snake River (NE)</t>
  </si>
  <si>
    <t xml:space="preserve">Lake Ogallala</t>
  </si>
  <si>
    <t xml:space="preserve">CNPPID (Keystone Diversion)</t>
  </si>
  <si>
    <t xml:space="preserve">Below Kingsley Dam</t>
  </si>
  <si>
    <t xml:space="preserve">Sherman Reservoir</t>
  </si>
  <si>
    <t xml:space="preserve">USBR (Farwell Unit)</t>
  </si>
  <si>
    <t xml:space="preserve">Middle Loup basin</t>
  </si>
  <si>
    <t xml:space="preserve">Branched Oak Lake</t>
  </si>
  <si>
    <t xml:space="preserve">Lower Platte South NRD / USACE</t>
  </si>
  <si>
    <t xml:space="preserve">Salt Valley flood-control lake</t>
  </si>
  <si>
    <t xml:space="preserve">Calamus Reservoir</t>
  </si>
  <si>
    <t xml:space="preserve">USBR (Virginia Smith Dam)</t>
  </si>
  <si>
    <t xml:space="preserve">Calamus River</t>
  </si>
  <si>
    <t xml:space="preserve">Swanson Reservoir</t>
  </si>
  <si>
    <t xml:space="preserve">USBR (Trenton Dam)</t>
  </si>
  <si>
    <t xml:space="preserve">Box Butte Reservoir</t>
  </si>
  <si>
    <t xml:space="preserve">USBR (Box Butte Dam)</t>
  </si>
  <si>
    <t xml:space="preserve">Niobrara River</t>
  </si>
  <si>
    <t xml:space="preserve">Johnson Lake</t>
  </si>
  <si>
    <t xml:space="preserve">CNPPID (supply canal)</t>
  </si>
  <si>
    <t xml:space="preserve">Part of CNPPID canal system</t>
  </si>
  <si>
    <t xml:space="preserve">Sutherland Reservoir</t>
  </si>
  <si>
    <t xml:space="preserve">NPPD (Sutherland Dam)</t>
  </si>
  <si>
    <t xml:space="preserve">USGS NWIS; NPPD (no API)</t>
  </si>
  <si>
    <t xml:space="preserve">Cooling reservoir</t>
  </si>
  <si>
    <t xml:space="preserve">NV</t>
  </si>
  <si>
    <t xml:space="preserve">Lake Tahoe</t>
  </si>
  <si>
    <t xml:space="preserve">USBR / Federal Water Master</t>
  </si>
  <si>
    <t xml:space="preserve">USGS 10337000</t>
  </si>
  <si>
    <t xml:space="preserve">Natural lake, Tahoe Dam controls top 6 ft</t>
  </si>
  <si>
    <t xml:space="preserve">Lake Mead</t>
  </si>
  <si>
    <t xml:space="preserve">USBR (Hoover Dam)</t>
  </si>
  <si>
    <t xml:space="preserve">USBR RISE data.usbr.gov</t>
  </si>
  <si>
    <t xml:space="preserve">Colorado River</t>
  </si>
  <si>
    <t xml:space="preserve">Lake Mohave</t>
  </si>
  <si>
    <t xml:space="preserve">Pyramid Lake</t>
  </si>
  <si>
    <t xml:space="preserve">Pyramid Lake Paiute Tribe</t>
  </si>
  <si>
    <t xml:space="preserve">Natural terminal lake, no dam</t>
  </si>
  <si>
    <t xml:space="preserve">Walker Lake</t>
  </si>
  <si>
    <t xml:space="preserve">Natural terminal lake</t>
  </si>
  <si>
    <t xml:space="preserve">Lahontan Reservoir</t>
  </si>
  <si>
    <t xml:space="preserve">USBR / TCID (Newlands)</t>
  </si>
  <si>
    <t xml:space="preserve">Carson River</t>
  </si>
  <si>
    <t xml:space="preserve">Rye Patch Reservoir</t>
  </si>
  <si>
    <t xml:space="preserve">USBR / Pershing County WCD</t>
  </si>
  <si>
    <t xml:space="preserve">Humboldt River</t>
  </si>
  <si>
    <t xml:space="preserve">Wild Horse Reservoir</t>
  </si>
  <si>
    <t xml:space="preserve">NV / BIA (Wild Horse Dam)</t>
  </si>
  <si>
    <t xml:space="preserve">Owyhee River basin</t>
  </si>
  <si>
    <t xml:space="preserve">Topaz Lake</t>
  </si>
  <si>
    <t xml:space="preserve">Walker River Irrigation Dist.</t>
  </si>
  <si>
    <t xml:space="preserve">Off-stream storage, W Walker R.</t>
  </si>
  <si>
    <t xml:space="preserve">Washoe Lake</t>
  </si>
  <si>
    <t xml:space="preserve">Natural (state park)</t>
  </si>
  <si>
    <t xml:space="preserve">Shallow natural lake</t>
  </si>
  <si>
    <t xml:space="preserve">Ruby Lake</t>
  </si>
  <si>
    <t xml:space="preserve">Natural marsh (Ruby Lake NWR)</t>
  </si>
  <si>
    <t xml:space="preserve">Natural wetland complex</t>
  </si>
  <si>
    <t xml:space="preserve">Lake Lahontan</t>
  </si>
  <si>
    <t xml:space="preserve">USBR / TCID</t>
  </si>
  <si>
    <t xml:space="preserve">Duplicate of Lahontan Reservoir</t>
  </si>
  <si>
    <t xml:space="preserve">NH</t>
  </si>
  <si>
    <t xml:space="preserve">Lake Winnipesaukee</t>
  </si>
  <si>
    <t xml:space="preserve">NH DES (Lakeport Dam)</t>
  </si>
  <si>
    <t xml:space="preserve">Natural lake, outlet dam sets summer level</t>
  </si>
  <si>
    <t xml:space="preserve">Lake Winnisquam</t>
  </si>
  <si>
    <t xml:space="preserve">NH DES (outlet dam)</t>
  </si>
  <si>
    <t xml:space="preserve">USGS if gaged</t>
  </si>
  <si>
    <t xml:space="preserve">Natural lake, dam-regulated</t>
  </si>
  <si>
    <t xml:space="preserve">Squam Lake</t>
  </si>
  <si>
    <t xml:space="preserve">NH DES (Squam Dam)</t>
  </si>
  <si>
    <t xml:space="preserve">Newfound Lake</t>
  </si>
  <si>
    <t xml:space="preserve">Ossipee Lake</t>
  </si>
  <si>
    <t xml:space="preserve">NH DES (dam)</t>
  </si>
  <si>
    <t xml:space="preserve">Sunapee Lake</t>
  </si>
  <si>
    <t xml:space="preserve">NH DES (Sunapee Dam)</t>
  </si>
  <si>
    <t xml:space="preserve">First Connecticut Lake</t>
  </si>
  <si>
    <t xml:space="preserve">NH DES / former PSNH (Murphy Dam)</t>
  </si>
  <si>
    <t xml:space="preserve">Natural lake enlarged into hydro reservoir</t>
  </si>
  <si>
    <t xml:space="preserve">Umbagog Lake</t>
  </si>
  <si>
    <t xml:space="preserve">Brookfield/Union Water Power (Errol)</t>
  </si>
  <si>
    <t xml:space="preserve">Natural lake, Errol Dam controls level</t>
  </si>
  <si>
    <t xml:space="preserve">Merrymeeting Lake</t>
  </si>
  <si>
    <t xml:space="preserve">Lake Wentworth</t>
  </si>
  <si>
    <t xml:space="preserve">Massabesic Lake</t>
  </si>
  <si>
    <t xml:space="preserve">Manchester Water Works</t>
  </si>
  <si>
    <t xml:space="preserve">utility, no API</t>
  </si>
  <si>
    <t xml:space="preserve">Public water-supply reservoir</t>
  </si>
  <si>
    <t xml:space="preserve">Great East Lake</t>
  </si>
  <si>
    <t xml:space="preserve">NH DES / ME (outlet dam)</t>
  </si>
  <si>
    <t xml:space="preserve">Natural lake on ME/NH line</t>
  </si>
  <si>
    <t xml:space="preserve">NJ</t>
  </si>
  <si>
    <t xml:space="preserve">Lake Hopatcong</t>
  </si>
  <si>
    <t xml:space="preserve">NJDEP (Lake Hopatcong Dam)</t>
  </si>
  <si>
    <t xml:space="preserve">Largest NJ lake, natural, outlet dam</t>
  </si>
  <si>
    <t xml:space="preserve">Greenwood Lake</t>
  </si>
  <si>
    <t xml:space="preserve">NJ/NY (Awosting Dam)</t>
  </si>
  <si>
    <t xml:space="preserve">Natural lake, dam-raised level</t>
  </si>
  <si>
    <t xml:space="preserve">Round Valley Reservoir</t>
  </si>
  <si>
    <t xml:space="preserve">NJWSA</t>
  </si>
  <si>
    <t xml:space="preserve">NJWSA reports; USGS NWIS</t>
  </si>
  <si>
    <t xml:space="preserve">Pumped-storage supply reservoir</t>
  </si>
  <si>
    <t xml:space="preserve">Spruce Run Reservoir</t>
  </si>
  <si>
    <t xml:space="preserve">njwsa.org; USGS NWIS</t>
  </si>
  <si>
    <t xml:space="preserve">D&amp;R Raritan system</t>
  </si>
  <si>
    <t xml:space="preserve">Wanaque Reservoir</t>
  </si>
  <si>
    <t xml:space="preserve">North Jersey Dist. Water Supply Comm.</t>
  </si>
  <si>
    <t xml:space="preserve">USGS 01386990; NJDWSC</t>
  </si>
  <si>
    <t xml:space="preserve">Supply reservoir</t>
  </si>
  <si>
    <t xml:space="preserve">Swartswood Lake</t>
  </si>
  <si>
    <t xml:space="preserve">NJDEP (state park)</t>
  </si>
  <si>
    <t xml:space="preserve">Budd Lake</t>
  </si>
  <si>
    <t xml:space="preserve">Natural (local)</t>
  </si>
  <si>
    <t xml:space="preserve">Culvers Lake</t>
  </si>
  <si>
    <t xml:space="preserve">Natural (dam-raised)</t>
  </si>
  <si>
    <t xml:space="preserve">Merrill Creek Reservoir</t>
  </si>
  <si>
    <t xml:space="preserve">Merrill Creek Owners Group</t>
  </si>
  <si>
    <t xml:space="preserve">utility</t>
  </si>
  <si>
    <t xml:space="preserve">Pumped-storage augmentation reservoir</t>
  </si>
  <si>
    <t xml:space="preserve">Monksville Reservoir</t>
  </si>
  <si>
    <t xml:space="preserve">USGS 01384002; NJDWSC</t>
  </si>
  <si>
    <t xml:space="preserve">Wanaque River supply</t>
  </si>
  <si>
    <t xml:space="preserve">Manasquan Reservoir</t>
  </si>
  <si>
    <t xml:space="preserve">NJWSA; USGS NWIS</t>
  </si>
  <si>
    <t xml:space="preserve">Off-stream pumped reservoir</t>
  </si>
  <si>
    <t xml:space="preserve">Lake Absegami</t>
  </si>
  <si>
    <t xml:space="preserve">NJDEP (Bass River SF)</t>
  </si>
  <si>
    <t xml:space="preserve">Small man-made recreation lake</t>
  </si>
  <si>
    <t xml:space="preserve">NM</t>
  </si>
  <si>
    <t xml:space="preserve">Elephant Butte Reservoir</t>
  </si>
  <si>
    <t xml:space="preserve">USBR (Rio Grande Project)</t>
  </si>
  <si>
    <t xml:space="preserve">RISE — data.usbr.gov/rise-api</t>
  </si>
  <si>
    <t xml:space="preserve">Reclamation reservoir</t>
  </si>
  <si>
    <t xml:space="preserve">Navajo Lake</t>
  </si>
  <si>
    <t xml:space="preserve">Conchas Lake</t>
  </si>
  <si>
    <t xml:space="preserve">water.usace.army.mil (SPA)</t>
  </si>
  <si>
    <t xml:space="preserve">Canadian R.</t>
  </si>
  <si>
    <t xml:space="preserve">Ute Lake</t>
  </si>
  <si>
    <t xml:space="preserve">NM Interstate Stream Comm.</t>
  </si>
  <si>
    <t xml:space="preserve">State-owned dam</t>
  </si>
  <si>
    <t xml:space="preserve">Cochiti Lake</t>
  </si>
  <si>
    <t xml:space="preserve">Rio Grande</t>
  </si>
  <si>
    <t xml:space="preserve">Abiquiu Lake</t>
  </si>
  <si>
    <t xml:space="preserve">Chama R.</t>
  </si>
  <si>
    <t xml:space="preserve">Heron Lake</t>
  </si>
  <si>
    <t xml:space="preserve">USBR (San Juan-Chama)</t>
  </si>
  <si>
    <t xml:space="preserve">Reclamation</t>
  </si>
  <si>
    <t xml:space="preserve">El Vado Lake</t>
  </si>
  <si>
    <t xml:space="preserve">Caballo Lake</t>
  </si>
  <si>
    <t xml:space="preserve">Below Elephant Butte</t>
  </si>
  <si>
    <t xml:space="preserve">Sumner Lake</t>
  </si>
  <si>
    <t xml:space="preserve">USBR (Alamogordo Dam)</t>
  </si>
  <si>
    <t xml:space="preserve">Pecos R.</t>
  </si>
  <si>
    <t xml:space="preserve">Eagle Nest Lake</t>
  </si>
  <si>
    <t xml:space="preserve">NM State Parks (Eagle Nest Dam)</t>
  </si>
  <si>
    <t xml:space="preserve">Private-origin dam, man-made</t>
  </si>
  <si>
    <t xml:space="preserve">Bluewater Lake</t>
  </si>
  <si>
    <t xml:space="preserve">NM State Parks (Bluewater Dam)</t>
  </si>
  <si>
    <t xml:space="preserve">Man-made</t>
  </si>
  <si>
    <t xml:space="preserve">Santa Rosa Lake</t>
  </si>
  <si>
    <t xml:space="preserve">NY</t>
  </si>
  <si>
    <t xml:space="preserve">Lake Ontario</t>
  </si>
  <si>
    <t xml:space="preserve">IJC / USACE-Env Canada</t>
  </si>
  <si>
    <t xml:space="preserve">Natural; outflow regulated</t>
  </si>
  <si>
    <t xml:space="preserve">natural Great Lake</t>
  </si>
  <si>
    <t xml:space="preserve">Lake Champlain</t>
  </si>
  <si>
    <t xml:space="preserve">natural</t>
  </si>
  <si>
    <t xml:space="preserve">Natural; minor outlet control</t>
  </si>
  <si>
    <t xml:space="preserve">Oneida Lake</t>
  </si>
  <si>
    <t xml:space="preserve">NYS Canal Corp (outlet)</t>
  </si>
  <si>
    <t xml:space="preserve">Natural; canal outlet dam</t>
  </si>
  <si>
    <t xml:space="preserve">Seneca Lake</t>
  </si>
  <si>
    <t xml:space="preserve">Natural Finger Lake</t>
  </si>
  <si>
    <t xml:space="preserve">Cayuga Lake</t>
  </si>
  <si>
    <t xml:space="preserve">Natural; outlet dam</t>
  </si>
  <si>
    <t xml:space="preserve">Great Sacandaga Lake</t>
  </si>
  <si>
    <t xml:space="preserve">HRBRRD (Conklingville Dam)</t>
  </si>
  <si>
    <t xml:space="preserve">HRBRRD levels; USGS</t>
  </si>
  <si>
    <t xml:space="preserve">Regulating reservoir</t>
  </si>
  <si>
    <t xml:space="preserve">Chautauqua Lake</t>
  </si>
  <si>
    <t xml:space="preserve">Natural; small outlet dam</t>
  </si>
  <si>
    <t xml:space="preserve">Canandaigua Lake</t>
  </si>
  <si>
    <t xml:space="preserve">Keuka Lake</t>
  </si>
  <si>
    <t xml:space="preserve">Skaneateles Lake</t>
  </si>
  <si>
    <t xml:space="preserve">City of Syracuse (water supply)</t>
  </si>
  <si>
    <t xml:space="preserve">Natural; outlet control</t>
  </si>
  <si>
    <t xml:space="preserve">Owasco Lake</t>
  </si>
  <si>
    <t xml:space="preserve">Cranberry Lake</t>
  </si>
  <si>
    <t xml:space="preserve">natural, dam-enlarged</t>
  </si>
  <si>
    <t xml:space="preserve">Natural lake raised by dam</t>
  </si>
  <si>
    <t xml:space="preserve">Indian Lake</t>
  </si>
  <si>
    <t xml:space="preserve">HRBRRD (Indian Lake Dam)</t>
  </si>
  <si>
    <t xml:space="preserve">Regulated reservoir</t>
  </si>
  <si>
    <t xml:space="preserve">NC</t>
  </si>
  <si>
    <t xml:space="preserve">Lake Norman</t>
  </si>
  <si>
    <t xml:space="preserve">Duke Energy (Cowans Ford)</t>
  </si>
  <si>
    <t xml:space="preserve">lakes.duke-energy.com</t>
  </si>
  <si>
    <t xml:space="preserve">Catawba R.</t>
  </si>
  <si>
    <t xml:space="preserve">Lake Gaston</t>
  </si>
  <si>
    <t xml:space="preserve">Dominion Energy</t>
  </si>
  <si>
    <t xml:space="preserve">Roanoke R.</t>
  </si>
  <si>
    <t xml:space="preserve">Falls Lake</t>
  </si>
  <si>
    <t xml:space="preserve">USACE Wilmington</t>
  </si>
  <si>
    <t xml:space="preserve">water.usace.army.mil (SAW)</t>
  </si>
  <si>
    <t xml:space="preserve">Neuse R.</t>
  </si>
  <si>
    <t xml:space="preserve">Jordan Lake</t>
  </si>
  <si>
    <t xml:space="preserve">Haw R.</t>
  </si>
  <si>
    <t xml:space="preserve">Lake Mattamuskeet</t>
  </si>
  <si>
    <t xml:space="preserve">USFWS (refuge, water-control gates)</t>
  </si>
  <si>
    <t xml:space="preserve">Largest natural NC lake</t>
  </si>
  <si>
    <t xml:space="preserve">Fontana Lake</t>
  </si>
  <si>
    <t xml:space="preserve">TVA reservoir</t>
  </si>
  <si>
    <t xml:space="preserve">High Rock Lake</t>
  </si>
  <si>
    <t xml:space="preserve">Cube Hydro/APGI (Yadkin)</t>
  </si>
  <si>
    <t xml:space="preserve">cubecarolinas.com/lake-levels</t>
  </si>
  <si>
    <t xml:space="preserve">Yadkin chain</t>
  </si>
  <si>
    <t xml:space="preserve">Lake James</t>
  </si>
  <si>
    <t xml:space="preserve">Duke Energy</t>
  </si>
  <si>
    <t xml:space="preserve">Catawba headwaters</t>
  </si>
  <si>
    <t xml:space="preserve">Lake Wylie</t>
  </si>
  <si>
    <t xml:space="preserve">Kerr Lake (John H. Kerr)</t>
  </si>
  <si>
    <t xml:space="preserve">Lake Hickory</t>
  </si>
  <si>
    <t xml:space="preserve">Duke Energy (Oxford Dam)</t>
  </si>
  <si>
    <t xml:space="preserve">Badin Lake</t>
  </si>
  <si>
    <t xml:space="preserve">Cube Hydro/APGI (Narrows Dam)</t>
  </si>
  <si>
    <t xml:space="preserve">Lake Waccamaw</t>
  </si>
  <si>
    <t xml:space="preserve">NC (Carolina bay, weir)</t>
  </si>
  <si>
    <t xml:space="preserve">Natural bay lake</t>
  </si>
  <si>
    <t xml:space="preserve">Hiwassee Lake</t>
  </si>
  <si>
    <t xml:space="preserve">ND</t>
  </si>
  <si>
    <t xml:space="preserve">Lake Sakakawea</t>
  </si>
  <si>
    <t xml:space="preserve">USACE (Garrison Dam)</t>
  </si>
  <si>
    <t xml:space="preserve">water.usace.army.mil (NWD-Missouri)</t>
  </si>
  <si>
    <t xml:space="preserve">Missouri R.</t>
  </si>
  <si>
    <t xml:space="preserve">Lake Oahe</t>
  </si>
  <si>
    <t xml:space="preserve">USACE (Oahe Dam)</t>
  </si>
  <si>
    <t xml:space="preserve">Devils Lake</t>
  </si>
  <si>
    <t xml:space="preserve">ND State Water Comm (outlets)</t>
  </si>
  <si>
    <t xml:space="preserve">Lake Ashtabula</t>
  </si>
  <si>
    <t xml:space="preserve">USACE (Baldhill Dam)</t>
  </si>
  <si>
    <t xml:space="preserve">water.usace.army.mil (NWO)</t>
  </si>
  <si>
    <t xml:space="preserve">Sheyenne R.</t>
  </si>
  <si>
    <t xml:space="preserve">Jamestown Reservoir</t>
  </si>
  <si>
    <t xml:space="preserve">USBR (Jamestown Dam)</t>
  </si>
  <si>
    <t xml:space="preserve">James R.</t>
  </si>
  <si>
    <t xml:space="preserve">Lake Tschida</t>
  </si>
  <si>
    <t xml:space="preserve">USBR (Heart Butte Dam)</t>
  </si>
  <si>
    <t xml:space="preserve">Heart R.</t>
  </si>
  <si>
    <t xml:space="preserve">Bowman-Haley Reservoir</t>
  </si>
  <si>
    <t xml:space="preserve">USACE (Bowman-Haley Dam)</t>
  </si>
  <si>
    <t xml:space="preserve">Grand R.</t>
  </si>
  <si>
    <t xml:space="preserve">Lake Metigoshe</t>
  </si>
  <si>
    <t xml:space="preserve">natural glacial lake</t>
  </si>
  <si>
    <t xml:space="preserve">Patterson Lake</t>
  </si>
  <si>
    <t xml:space="preserve">USBR (Dickinson Dam)</t>
  </si>
  <si>
    <t xml:space="preserve">Nelson Lake</t>
  </si>
  <si>
    <t xml:space="preserve">Minnkota Power (cooling reservoir)</t>
  </si>
  <si>
    <t xml:space="preserve">Private power-plant lake</t>
  </si>
  <si>
    <t xml:space="preserve">Lake Darling</t>
  </si>
  <si>
    <t xml:space="preserve">USFWS (Upper Souris NWR)</t>
  </si>
  <si>
    <t xml:space="preserve">Souris R. refuge dam</t>
  </si>
  <si>
    <t xml:space="preserve">Stump Lake</t>
  </si>
  <si>
    <t xml:space="preserve">natural, Devils Lake basin</t>
  </si>
  <si>
    <t xml:space="preserve">OH</t>
  </si>
  <si>
    <t xml:space="preserve">Grand Lake St. Marys</t>
  </si>
  <si>
    <t xml:space="preserve">ODNR (canal feeder reservoir)</t>
  </si>
  <si>
    <t xml:space="preserve">Man-made; little release control</t>
  </si>
  <si>
    <t xml:space="preserve">Mosquito Creek Lake</t>
  </si>
  <si>
    <t xml:space="preserve">USACE Pittsburgh</t>
  </si>
  <si>
    <t xml:space="preserve">water.usace.army.mil (LRP)</t>
  </si>
  <si>
    <t xml:space="preserve">Mahoning basin</t>
  </si>
  <si>
    <t xml:space="preserve">Pymatuning Reservoir</t>
  </si>
  <si>
    <t xml:space="preserve">PA DCNR (man-made, PA/OH)</t>
  </si>
  <si>
    <t xml:space="preserve">PA-managed</t>
  </si>
  <si>
    <t xml:space="preserve">Berlin Lake</t>
  </si>
  <si>
    <t xml:space="preserve">Mahoning R.</t>
  </si>
  <si>
    <t xml:space="preserve">ODNR (canal reservoir)</t>
  </si>
  <si>
    <t xml:space="preserve">Buckeye Lake</t>
  </si>
  <si>
    <t xml:space="preserve">Lake Milton</t>
  </si>
  <si>
    <t xml:space="preserve">ODNR (Lake Milton Dam)</t>
  </si>
  <si>
    <t xml:space="preserve">Alum Creek Lake</t>
  </si>
  <si>
    <t xml:space="preserve">USACE Huntington</t>
  </si>
  <si>
    <t xml:space="preserve">water.usace.army.mil (LRH)</t>
  </si>
  <si>
    <t xml:space="preserve">Alum Creek</t>
  </si>
  <si>
    <t xml:space="preserve">Hoover Reservoir</t>
  </si>
  <si>
    <t xml:space="preserve">City of Columbus (water supply)</t>
  </si>
  <si>
    <t xml:space="preserve">Caesar Creek Lake</t>
  </si>
  <si>
    <t xml:space="preserve">USACE Louisville</t>
  </si>
  <si>
    <t xml:space="preserve">water.usace.army.mil (LRL)</t>
  </si>
  <si>
    <t xml:space="preserve">Little Miami basin</t>
  </si>
  <si>
    <t xml:space="preserve">Salt Fork Lake</t>
  </si>
  <si>
    <t xml:space="preserve">ODNR (state park reservoir)</t>
  </si>
  <si>
    <t xml:space="preserve">Senecaville Lake</t>
  </si>
  <si>
    <t xml:space="preserve">MWCD / USACE Huntington</t>
  </si>
  <si>
    <t xml:space="preserve">Muskingum watershed</t>
  </si>
  <si>
    <t xml:space="preserve">Tappan Lake</t>
  </si>
  <si>
    <t xml:space="preserve">OK</t>
  </si>
  <si>
    <t xml:space="preserve">Lake Eufaula</t>
  </si>
  <si>
    <t xml:space="preserve">USACE Tulsa</t>
  </si>
  <si>
    <t xml:space="preserve">water.usace.army.mil / swt-wc</t>
  </si>
  <si>
    <t xml:space="preserve">Largest OK lake</t>
  </si>
  <si>
    <t xml:space="preserve">Lake Texoma</t>
  </si>
  <si>
    <t xml:space="preserve">Denison Dam</t>
  </si>
  <si>
    <t xml:space="preserve">Grand Lake o' the Cherokees</t>
  </si>
  <si>
    <t xml:space="preserve">Grand River Dam Authority</t>
  </si>
  <si>
    <t xml:space="preserve">USGS Grand Lake Data Viewer + USACE</t>
  </si>
  <si>
    <t xml:space="preserve">GRDA/FERC; USACE flood pool</t>
  </si>
  <si>
    <t xml:space="preserve">Lake Tenkiller</t>
  </si>
  <si>
    <t xml:space="preserve">Broken Bow Lake</t>
  </si>
  <si>
    <t xml:space="preserve">Fort Gibson Lake</t>
  </si>
  <si>
    <t xml:space="preserve">Keystone Lake</t>
  </si>
  <si>
    <t xml:space="preserve">Lake Murray (OK)</t>
  </si>
  <si>
    <t xml:space="preserve">OK State Parks</t>
  </si>
  <si>
    <t xml:space="preserve">State park; no public feed</t>
  </si>
  <si>
    <t xml:space="preserve">Small state-park impoundment</t>
  </si>
  <si>
    <t xml:space="preserve">Kaw Lake</t>
  </si>
  <si>
    <t xml:space="preserve">Oologah Lake</t>
  </si>
  <si>
    <t xml:space="preserve">Lake Hudson</t>
  </si>
  <si>
    <t xml:space="preserve">USGS + GRDA; USACE Verdigris data</t>
  </si>
  <si>
    <t xml:space="preserve">GRDA (Kerr Dam)</t>
  </si>
  <si>
    <t xml:space="preserve">USACE Tulsa / OWRB</t>
  </si>
  <si>
    <t xml:space="preserve">USACE-built, OWRB water rights</t>
  </si>
  <si>
    <t xml:space="preserve">Skiatook Lake</t>
  </si>
  <si>
    <t xml:space="preserve">Canton Lake</t>
  </si>
  <si>
    <t xml:space="preserve">OR</t>
  </si>
  <si>
    <t xml:space="preserve">Crater Lake</t>
  </si>
  <si>
    <t xml:space="preserve">NPS (natural)</t>
  </si>
  <si>
    <t xml:space="preserve">No release data</t>
  </si>
  <si>
    <t xml:space="preserve">Natural caldera lake</t>
  </si>
  <si>
    <t xml:space="preserve">Upper Klamath Lake</t>
  </si>
  <si>
    <t xml:space="preserve">USBR / PacifiCorp</t>
  </si>
  <si>
    <t xml:space="preserve">USBR Hydromet (Link River Dam)</t>
  </si>
  <si>
    <t xml:space="preserve">Natural lake, dam-controlled</t>
  </si>
  <si>
    <t xml:space="preserve">Lake Billy Chinook</t>
  </si>
  <si>
    <t xml:space="preserve">Portland General Electric</t>
  </si>
  <si>
    <t xml:space="preserve">PGE Pelton-Round Butte; USGS NWIS</t>
  </si>
  <si>
    <t xml:space="preserve">PGE web levels</t>
  </si>
  <si>
    <t xml:space="preserve">Detroit Lake</t>
  </si>
  <si>
    <t xml:space="preserve">USACE Portland</t>
  </si>
  <si>
    <t xml:space="preserve">water.usace.army.mil (Willamette Valley)</t>
  </si>
  <si>
    <t xml:space="preserve">Wallowa Lake</t>
  </si>
  <si>
    <t xml:space="preserve">Assoc. Ditch Co. (irrigation)</t>
  </si>
  <si>
    <t xml:space="preserve">Natural glacial lake w/ raise dam</t>
  </si>
  <si>
    <t xml:space="preserve">Waldo Lake</t>
  </si>
  <si>
    <t xml:space="preserve">USFS (natural)</t>
  </si>
  <si>
    <t xml:space="preserve">Diamond Lake</t>
  </si>
  <si>
    <t xml:space="preserve">USGS NWIS if any</t>
  </si>
  <si>
    <t xml:space="preserve">Odell Lake</t>
  </si>
  <si>
    <t xml:space="preserve">Malheur Lake</t>
  </si>
  <si>
    <t xml:space="preserve">USFWS (natural)</t>
  </si>
  <si>
    <t xml:space="preserve">USGS NWIS lake gage</t>
  </si>
  <si>
    <t xml:space="preserve">Natural shallow lake, no dam</t>
  </si>
  <si>
    <t xml:space="preserve">Fern Ridge Reservoir</t>
  </si>
  <si>
    <t xml:space="preserve">Tumalo Irrigation</t>
  </si>
  <si>
    <t xml:space="preserve">Lake Owyhee</t>
  </si>
  <si>
    <t xml:space="preserve">USBR Hydromet (Owyhee Dam)</t>
  </si>
  <si>
    <t xml:space="preserve">Timothy Lake</t>
  </si>
  <si>
    <t xml:space="preserve">PGE Oak Grove; USGS NWIS</t>
  </si>
  <si>
    <t xml:space="preserve">PGE reservoir</t>
  </si>
  <si>
    <t xml:space="preserve">Suttle Lake</t>
  </si>
  <si>
    <t xml:space="preserve">PA</t>
  </si>
  <si>
    <t xml:space="preserve">NOAA/IJC (Great Lake)</t>
  </si>
  <si>
    <t xml:space="preserve">NOAA CO-OPS / GLERL API</t>
  </si>
  <si>
    <t xml:space="preserve">Raystown Lake</t>
  </si>
  <si>
    <t xml:space="preserve">USACE Baltimore</t>
  </si>
  <si>
    <t xml:space="preserve">water.usace.army.mil</t>
  </si>
  <si>
    <t xml:space="preserve">PA DCNR</t>
  </si>
  <si>
    <t xml:space="preserve">USGS NWIS outlet gage</t>
  </si>
  <si>
    <t xml:space="preserve">State-built impoundment</t>
  </si>
  <si>
    <t xml:space="preserve">Lake Wallenpaupack</t>
  </si>
  <si>
    <t xml:space="preserve">PPL (Brookfield)</t>
  </si>
  <si>
    <t xml:space="preserve">PPL hydro; USGS NWIS</t>
  </si>
  <si>
    <t xml:space="preserve">Utility hydro reservoir</t>
  </si>
  <si>
    <t xml:space="preserve">Allegheny Reservoir</t>
  </si>
  <si>
    <t xml:space="preserve">water.usace.army.mil (Kinzua Dam)</t>
  </si>
  <si>
    <t xml:space="preserve">Lake Arthur</t>
  </si>
  <si>
    <t xml:space="preserve">PA DCNR (Moraine SP)</t>
  </si>
  <si>
    <t xml:space="preserve">State park</t>
  </si>
  <si>
    <t xml:space="preserve">Beltzville Lake</t>
  </si>
  <si>
    <t xml:space="preserve">USACE Philadelphia</t>
  </si>
  <si>
    <t xml:space="preserve">Blue Marsh Lake</t>
  </si>
  <si>
    <t xml:space="preserve">Conneaut Lake</t>
  </si>
  <si>
    <t xml:space="preserve">Natural (glacial)</t>
  </si>
  <si>
    <t xml:space="preserve">Largest natural PA lake</t>
  </si>
  <si>
    <t xml:space="preserve">Harveys Lake</t>
  </si>
  <si>
    <t xml:space="preserve">Lake Nockamixon</t>
  </si>
  <si>
    <t xml:space="preserve">Shenango River Lake</t>
  </si>
  <si>
    <t xml:space="preserve">Lake Marburg</t>
  </si>
  <si>
    <t xml:space="preserve">Codorus SP (Glatfelter dam)</t>
  </si>
  <si>
    <t xml:space="preserve">Man-made impoundment</t>
  </si>
  <si>
    <t xml:space="preserve">Yellow Creek Lake</t>
  </si>
  <si>
    <t xml:space="preserve">Man-made state-park lake</t>
  </si>
  <si>
    <t xml:space="preserve">RI</t>
  </si>
  <si>
    <t xml:space="preserve">Scituate Reservoir</t>
  </si>
  <si>
    <t xml:space="preserve">Providence Water</t>
  </si>
  <si>
    <t xml:space="preserve">Water-supply, restricted</t>
  </si>
  <si>
    <t xml:space="preserve">Man-made supply reservoir</t>
  </si>
  <si>
    <t xml:space="preserve">Worden Pond</t>
  </si>
  <si>
    <t xml:space="preserve">Largest natural RI pond</t>
  </si>
  <si>
    <t xml:space="preserve">Watchaug Pond</t>
  </si>
  <si>
    <t xml:space="preserve">Natural pond</t>
  </si>
  <si>
    <t xml:space="preserve">Flat River Res. (Johnson's Pond)</t>
  </si>
  <si>
    <t xml:space="preserve">Private dam owner</t>
  </si>
  <si>
    <t xml:space="preserve">Dammed reservoir</t>
  </si>
  <si>
    <t xml:space="preserve">Wallum Lake</t>
  </si>
  <si>
    <t xml:space="preserve">Bowdish Reservoir</t>
  </si>
  <si>
    <t xml:space="preserve">Private/state</t>
  </si>
  <si>
    <t xml:space="preserve">Man-made reservoir</t>
  </si>
  <si>
    <t xml:space="preserve">Stafford Pond</t>
  </si>
  <si>
    <t xml:space="preserve">Natural (water supply)</t>
  </si>
  <si>
    <t xml:space="preserve">Point Judith Pond</t>
  </si>
  <si>
    <t xml:space="preserve">Natural (salt pond)</t>
  </si>
  <si>
    <t xml:space="preserve">NOAA tidal if any</t>
  </si>
  <si>
    <t xml:space="preserve">Coastal salt pond</t>
  </si>
  <si>
    <t xml:space="preserve">Ninigret Pond</t>
  </si>
  <si>
    <t xml:space="preserve">Winnapaug Pond</t>
  </si>
  <si>
    <t xml:space="preserve">Tiogue Lake</t>
  </si>
  <si>
    <t xml:space="preserve">Local/state dam</t>
  </si>
  <si>
    <t xml:space="preserve">Pond raised by dam</t>
  </si>
  <si>
    <t xml:space="preserve">Pascoag Reservoir</t>
  </si>
  <si>
    <t xml:space="preserve">Local (Echo Lake)</t>
  </si>
  <si>
    <t xml:space="preserve">SC</t>
  </si>
  <si>
    <t xml:space="preserve">Lake Marion</t>
  </si>
  <si>
    <t xml:space="preserve">Santee Cooper</t>
  </si>
  <si>
    <t xml:space="preserve">Santee Cooper Lake Data; USGS NWIS</t>
  </si>
  <si>
    <t xml:space="preserve">Utility web levels</t>
  </si>
  <si>
    <t xml:space="preserve">Lake Moultrie</t>
  </si>
  <si>
    <t xml:space="preserve">Lake Murray (SC)</t>
  </si>
  <si>
    <t xml:space="preserve">Dominion Energy (SCE&amp;G)</t>
  </si>
  <si>
    <t xml:space="preserve">Dominion lake levels; USGS NWIS</t>
  </si>
  <si>
    <t xml:space="preserve">Saluda Dam</t>
  </si>
  <si>
    <t xml:space="preserve">Lake Hartwell</t>
  </si>
  <si>
    <t xml:space="preserve">Lake Strom Thurmond (Clarks Hill)</t>
  </si>
  <si>
    <t xml:space="preserve">Lake Greenwood</t>
  </si>
  <si>
    <t xml:space="preserve">Greenwood County CPW</t>
  </si>
  <si>
    <t xml:space="preserve">Buzzard Roost hydro</t>
  </si>
  <si>
    <t xml:space="preserve">lakes.duke-energy.com data feed</t>
  </si>
  <si>
    <t xml:space="preserve">Catawba</t>
  </si>
  <si>
    <t xml:space="preserve">Lake Keowee</t>
  </si>
  <si>
    <t xml:space="preserve">Lake Jocassee</t>
  </si>
  <si>
    <t xml:space="preserve">Pumped storage</t>
  </si>
  <si>
    <t xml:space="preserve">Lake Wateree</t>
  </si>
  <si>
    <t xml:space="preserve">Catawba-Wateree</t>
  </si>
  <si>
    <t xml:space="preserve">Lake Russell (R.B. Russell)</t>
  </si>
  <si>
    <t xml:space="preserve">Lake Robinson</t>
  </si>
  <si>
    <t xml:space="preserve">H.B. Robinson</t>
  </si>
  <si>
    <t xml:space="preserve">Lake Monticello</t>
  </si>
  <si>
    <t xml:space="preserve">V.C. Summer pumped storage</t>
  </si>
  <si>
    <t xml:space="preserve">Utility, no public feed</t>
  </si>
  <si>
    <t xml:space="preserve">SD</t>
  </si>
  <si>
    <t xml:space="preserve">USACE (Missouri mainstem)</t>
  </si>
  <si>
    <t xml:space="preserve">Oahe Dam</t>
  </si>
  <si>
    <t xml:space="preserve">Lake Sharpe</t>
  </si>
  <si>
    <t xml:space="preserve">USACE MRWM data feeds</t>
  </si>
  <si>
    <t xml:space="preserve">Big Bend Dam</t>
  </si>
  <si>
    <t xml:space="preserve">Lake Francis Case</t>
  </si>
  <si>
    <t xml:space="preserve">Fort Randall Dam</t>
  </si>
  <si>
    <t xml:space="preserve">Gavins Point Dam</t>
  </si>
  <si>
    <t xml:space="preserve">Big Stone Lake</t>
  </si>
  <si>
    <t xml:space="preserve">MN DNR / USACE (Big Stone Dam)</t>
  </si>
  <si>
    <t xml:space="preserve">Natural glacial lake, low-head control</t>
  </si>
  <si>
    <t xml:space="preserve">Lake Thompson</t>
  </si>
  <si>
    <t xml:space="preserve">none (SD GFP)</t>
  </si>
  <si>
    <t xml:space="preserve">Largest natural lake in SD</t>
  </si>
  <si>
    <t xml:space="preserve">Waubay Lake</t>
  </si>
  <si>
    <t xml:space="preserve">Bitter Lake</t>
  </si>
  <si>
    <t xml:space="preserve">Natural glacial/alkaline lake</t>
  </si>
  <si>
    <t xml:space="preserve">Enemy Swim Lake</t>
  </si>
  <si>
    <t xml:space="preserve">Angostura Reservoir</t>
  </si>
  <si>
    <t xml:space="preserve">USBR (Rapid Valley/Cheyenne)</t>
  </si>
  <si>
    <t xml:space="preserve">RISE data.usbr.gov + USGS NWIS</t>
  </si>
  <si>
    <t xml:space="preserve">Lake Poinsett</t>
  </si>
  <si>
    <t xml:space="preserve">Pactola Reservoir</t>
  </si>
  <si>
    <t xml:space="preserve">USBR (Rapid Valley Project)</t>
  </si>
  <si>
    <t xml:space="preserve">RISE + USGS NWIS</t>
  </si>
  <si>
    <t xml:space="preserve">Rapid Creek dam</t>
  </si>
  <si>
    <t xml:space="preserve">Sheridan Lake</t>
  </si>
  <si>
    <t xml:space="preserve">USFS (Black Hills NF)</t>
  </si>
  <si>
    <t xml:space="preserve">Small man-made impoundment</t>
  </si>
  <si>
    <t xml:space="preserve">TN</t>
  </si>
  <si>
    <t xml:space="preserve">Kentucky Dam</t>
  </si>
  <si>
    <t xml:space="preserve">Reelfoot Lake</t>
  </si>
  <si>
    <t xml:space="preserve">TWRA (spillway control)</t>
  </si>
  <si>
    <t xml:space="preserve">Natural (earthquake); outlet control weir</t>
  </si>
  <si>
    <t xml:space="preserve">Watts Bar Lake</t>
  </si>
  <si>
    <t xml:space="preserve">TVA Lake Info</t>
  </si>
  <si>
    <t xml:space="preserve">Watts Bar Dam</t>
  </si>
  <si>
    <t xml:space="preserve">Cherokee Lake</t>
  </si>
  <si>
    <t xml:space="preserve">Cherokee Dam</t>
  </si>
  <si>
    <t xml:space="preserve">Douglas Lake</t>
  </si>
  <si>
    <t xml:space="preserve">Douglas Dam</t>
  </si>
  <si>
    <t xml:space="preserve">Norris Lake</t>
  </si>
  <si>
    <t xml:space="preserve">Norris Dam</t>
  </si>
  <si>
    <t xml:space="preserve">USACE Nashville water mgmt data</t>
  </si>
  <si>
    <t xml:space="preserve">Dale Hollow Dam (not TVA)</t>
  </si>
  <si>
    <t xml:space="preserve">Center Hill Lake</t>
  </si>
  <si>
    <t xml:space="preserve">Center Hill Dam</t>
  </si>
  <si>
    <t xml:space="preserve">Chickamauga Lake</t>
  </si>
  <si>
    <t xml:space="preserve">Chickamauga Dam</t>
  </si>
  <si>
    <t xml:space="preserve">Old Hickory Lake</t>
  </si>
  <si>
    <t xml:space="preserve">Old Hickory Dam</t>
  </si>
  <si>
    <t xml:space="preserve">Percy Priest Lake</t>
  </si>
  <si>
    <t xml:space="preserve">J. Percy Priest Dam</t>
  </si>
  <si>
    <t xml:space="preserve">Tims Ford Lake</t>
  </si>
  <si>
    <t xml:space="preserve">Tims Ford Dam</t>
  </si>
  <si>
    <t xml:space="preserve">Fort Loudoun Lake</t>
  </si>
  <si>
    <t xml:space="preserve">Fort Loudoun Dam</t>
  </si>
  <si>
    <t xml:space="preserve">Pickwick Landing Dam</t>
  </si>
  <si>
    <t xml:space="preserve">TX</t>
  </si>
  <si>
    <t xml:space="preserve">Sabine River Authority (TX/LA)</t>
  </si>
  <si>
    <t xml:space="preserve">Water Data For Texas + SRA gauges</t>
  </si>
  <si>
    <t xml:space="preserve">SRA joint TX-LA</t>
  </si>
  <si>
    <t xml:space="preserve">Sam Rayburn Reservoir</t>
  </si>
  <si>
    <t xml:space="preserve">USACE Fort Worth</t>
  </si>
  <si>
    <t xml:space="preserve">Water Data For Texas + USACE</t>
  </si>
  <si>
    <t xml:space="preserve">Angelina River</t>
  </si>
  <si>
    <t xml:space="preserve">Lake Livingston</t>
  </si>
  <si>
    <t xml:space="preserve">Trinity River Authority</t>
  </si>
  <si>
    <t xml:space="preserve">Water Data For Texas + TRA</t>
  </si>
  <si>
    <t xml:space="preserve">Trinity River</t>
  </si>
  <si>
    <t xml:space="preserve">Falcon Lake</t>
  </si>
  <si>
    <t xml:space="preserve">IBWC (US/Mexico)</t>
  </si>
  <si>
    <t xml:space="preserve">IBWC + Water Data For Texas</t>
  </si>
  <si>
    <t xml:space="preserve">Rio Grande, binational</t>
  </si>
  <si>
    <t xml:space="preserve">USACE Tulsa + Water Data For Texas</t>
  </si>
  <si>
    <t xml:space="preserve">Denison Dam, Red River</t>
  </si>
  <si>
    <t xml:space="preserve">Amistad Reservoir</t>
  </si>
  <si>
    <t xml:space="preserve">none (Caddo Lake Dam control)</t>
  </si>
  <si>
    <t xml:space="preserve">USGS NWIS + Water Data For Texas</t>
  </si>
  <si>
    <t xml:space="preserve">Natural lake; later outlet control dam</t>
  </si>
  <si>
    <t xml:space="preserve">Lake Fork Reservoir</t>
  </si>
  <si>
    <t xml:space="preserve">Sabine River Authority</t>
  </si>
  <si>
    <t xml:space="preserve">Water Data For Texas + SRA</t>
  </si>
  <si>
    <t xml:space="preserve">Lake Fork Creek</t>
  </si>
  <si>
    <t xml:space="preserve">Lake Travis</t>
  </si>
  <si>
    <t xml:space="preserve">LCRA</t>
  </si>
  <si>
    <t xml:space="preserve">LCRA Hydromet — hydromet.lcra.org</t>
  </si>
  <si>
    <t xml:space="preserve">Mansfield Dam, Colorado R.</t>
  </si>
  <si>
    <t xml:space="preserve">Lake Buchanan</t>
  </si>
  <si>
    <t xml:space="preserve">LCRA Hydromet</t>
  </si>
  <si>
    <t xml:space="preserve">Buchanan Dam</t>
  </si>
  <si>
    <t xml:space="preserve">Canyon Lake</t>
  </si>
  <si>
    <t xml:space="preserve">USACE Fort Worth / GBRA</t>
  </si>
  <si>
    <t xml:space="preserve">Guadalupe River</t>
  </si>
  <si>
    <t xml:space="preserve">Lake Conroe</t>
  </si>
  <si>
    <t xml:space="preserve">San Jacinto River Authority</t>
  </si>
  <si>
    <t xml:space="preserve">Water Data For Texas + SJRA</t>
  </si>
  <si>
    <t xml:space="preserve">West Fork San Jacinto</t>
  </si>
  <si>
    <t xml:space="preserve">Cedar Creek Reservoir</t>
  </si>
  <si>
    <t xml:space="preserve">Tarrant Regional Water District</t>
  </si>
  <si>
    <t xml:space="preserve">Water Data For Texas</t>
  </si>
  <si>
    <t xml:space="preserve">Cedar Creek</t>
  </si>
  <si>
    <t xml:space="preserve">Lake Tawakoni</t>
  </si>
  <si>
    <t xml:space="preserve">Sabine River</t>
  </si>
  <si>
    <t xml:space="preserve">Possum Kingdom Lake</t>
  </si>
  <si>
    <t xml:space="preserve">Brazos River Authority</t>
  </si>
  <si>
    <t xml:space="preserve">Water Data For Texas + BRA</t>
  </si>
  <si>
    <t xml:space="preserve">Morris Sheppard Dam, Brazos R.</t>
  </si>
  <si>
    <t xml:space="preserve">UT</t>
  </si>
  <si>
    <t xml:space="preserve">Great Salt Lake</t>
  </si>
  <si>
    <t xml:space="preserve">none (terminal lake)</t>
  </si>
  <si>
    <t xml:space="preserve">Lake Powell</t>
  </si>
  <si>
    <t xml:space="preserve">RISE data.usbr.gov + UC hydrodata</t>
  </si>
  <si>
    <t xml:space="preserve">Glen Canyon Dam</t>
  </si>
  <si>
    <t xml:space="preserve">Utah Lake</t>
  </si>
  <si>
    <t xml:space="preserve">USBR (outlet control)</t>
  </si>
  <si>
    <t xml:space="preserve">USGS NWIS + RISE</t>
  </si>
  <si>
    <t xml:space="preserve">Natural; Jordan River outlet control dam</t>
  </si>
  <si>
    <t xml:space="preserve">PacifiCorp (managed natural)</t>
  </si>
  <si>
    <t xml:space="preserve">USGS NWIS / PacifiCorp</t>
  </si>
  <si>
    <t xml:space="preserve">Natural; PacifiCorp-managed levels</t>
  </si>
  <si>
    <t xml:space="preserve">Flaming Gorge Reservoir</t>
  </si>
  <si>
    <t xml:space="preserve">RISE data.usbr.gov/rise-api</t>
  </si>
  <si>
    <t xml:space="preserve">Flaming Gorge Dam</t>
  </si>
  <si>
    <t xml:space="preserve">Strawberry Reservoir</t>
  </si>
  <si>
    <t xml:space="preserve">USBR (CUP)</t>
  </si>
  <si>
    <t xml:space="preserve">RISE + UC hydrodata</t>
  </si>
  <si>
    <t xml:space="preserve">Soldier Creek Dam</t>
  </si>
  <si>
    <t xml:space="preserve">Jordanelle Reservoir</t>
  </si>
  <si>
    <t xml:space="preserve">Provo River</t>
  </si>
  <si>
    <t xml:space="preserve">Deer Creek Reservoir</t>
  </si>
  <si>
    <t xml:space="preserve">USBR (Provo River Project)</t>
  </si>
  <si>
    <t xml:space="preserve">Starvation Reservoir</t>
  </si>
  <si>
    <t xml:space="preserve">Strawberry River</t>
  </si>
  <si>
    <t xml:space="preserve">Pineview Reservoir</t>
  </si>
  <si>
    <t xml:space="preserve">USBR (Ogden River Project)</t>
  </si>
  <si>
    <t xml:space="preserve">Ogden River</t>
  </si>
  <si>
    <t xml:space="preserve">Fish Lake</t>
  </si>
  <si>
    <t xml:space="preserve">Natural high-mountain lake</t>
  </si>
  <si>
    <t xml:space="preserve">Willard Bay Reservoir</t>
  </si>
  <si>
    <t xml:space="preserve">USBR (Weber Basin)</t>
  </si>
  <si>
    <t xml:space="preserve">Off-stream dike reservoir</t>
  </si>
  <si>
    <t xml:space="preserve">Sevier Lake</t>
  </si>
  <si>
    <t xml:space="preserve">none (terminal, usually dry)</t>
  </si>
  <si>
    <t xml:space="preserve">Natural terminal playa</t>
  </si>
  <si>
    <t xml:space="preserve">VT</t>
  </si>
  <si>
    <t xml:space="preserve">Natural; Richelieu R. outlet</t>
  </si>
  <si>
    <t xml:space="preserve">Lake Memphremagog</t>
  </si>
  <si>
    <t xml:space="preserve">Hydro-controlled outlet (QC)</t>
  </si>
  <si>
    <t xml:space="preserve">Natural; outlet dam downstream in Quebec</t>
  </si>
  <si>
    <t xml:space="preserve">Lake Bomoseen</t>
  </si>
  <si>
    <t xml:space="preserve">Lake Willoughby</t>
  </si>
  <si>
    <t xml:space="preserve">Lake Dunmore</t>
  </si>
  <si>
    <t xml:space="preserve">none (small outlet dam)</t>
  </si>
  <si>
    <t xml:space="preserve">Natural lake, minor outlet control</t>
  </si>
  <si>
    <t xml:space="preserve">Lake St. Catherine</t>
  </si>
  <si>
    <t xml:space="preserve">Harriman Reservoir (Whitingham)</t>
  </si>
  <si>
    <t xml:space="preserve">Great River Hydro (Deerfield R.)</t>
  </si>
  <si>
    <t xml:space="preserve">Harriman Dam, private hydro</t>
  </si>
  <si>
    <t xml:space="preserve">Somerset Reservoir</t>
  </si>
  <si>
    <t xml:space="preserve">Somerset Dam, private hydro</t>
  </si>
  <si>
    <t xml:space="preserve">Lake Carmi</t>
  </si>
  <si>
    <t xml:space="preserve">Caspian Lake</t>
  </si>
  <si>
    <t xml:space="preserve">Crystal Lake</t>
  </si>
  <si>
    <t xml:space="preserve">Lake Seymour</t>
  </si>
  <si>
    <t xml:space="preserve">VA</t>
  </si>
  <si>
    <t xml:space="preserve">Smith Mountain Lake</t>
  </si>
  <si>
    <t xml:space="preserve">Appalachian Power (AEP)</t>
  </si>
  <si>
    <t xml:space="preserve">aep.com/recreation/hydro</t>
  </si>
  <si>
    <t xml:space="preserve">Roanoke R.; pumped-storage</t>
  </si>
  <si>
    <t xml:space="preserve">Kerr Reservoir (Buggs Island)</t>
  </si>
  <si>
    <t xml:space="preserve">water.usace.army.mil (CWMS/RADAR)</t>
  </si>
  <si>
    <t xml:space="preserve">Largest VA reservoir</t>
  </si>
  <si>
    <t xml:space="preserve">Lake Anna</t>
  </si>
  <si>
    <t xml:space="preserve">dominionenergy.com lake info</t>
  </si>
  <si>
    <t xml:space="preserve">North Anna cooling reservoir</t>
  </si>
  <si>
    <t xml:space="preserve">Dominion Energy (Gaston Dam)</t>
  </si>
  <si>
    <t xml:space="preserve">Claytor Lake</t>
  </si>
  <si>
    <t xml:space="preserve">New River hydro project</t>
  </si>
  <si>
    <t xml:space="preserve">Philpott Lake</t>
  </si>
  <si>
    <t xml:space="preserve">Smith River flood control</t>
  </si>
  <si>
    <t xml:space="preserve">Lake Moomaw</t>
  </si>
  <si>
    <t xml:space="preserve">USACE Norfolk (Gathright Dam)</t>
  </si>
  <si>
    <t xml:space="preserve">Jackson River</t>
  </si>
  <si>
    <t xml:space="preserve">South Holston Lake</t>
  </si>
  <si>
    <t xml:space="preserve">TVA tributary reservoir</t>
  </si>
  <si>
    <t xml:space="preserve">Chickahominy Lake</t>
  </si>
  <si>
    <t xml:space="preserve">Newport News Waterworks (Walker's Dam)</t>
  </si>
  <si>
    <t xml:space="preserve">River impoundment/water supply</t>
  </si>
  <si>
    <t xml:space="preserve">Lake Chesdin</t>
  </si>
  <si>
    <t xml:space="preserve">Appomattox River Water Authority</t>
  </si>
  <si>
    <t xml:space="preserve">USGS 02041600</t>
  </si>
  <si>
    <t xml:space="preserve">Water-supply impoundment</t>
  </si>
  <si>
    <t xml:space="preserve">Flannagan Reservoir</t>
  </si>
  <si>
    <t xml:space="preserve">Pound R. flood control</t>
  </si>
  <si>
    <t xml:space="preserve">Douthat Lake</t>
  </si>
  <si>
    <t xml:space="preserve">VA DCR State Parks</t>
  </si>
  <si>
    <t xml:space="preserve">50-acre state-park lake</t>
  </si>
  <si>
    <t xml:space="preserve">WA</t>
  </si>
  <si>
    <t xml:space="preserve">USACE (Ballard Locks)</t>
  </si>
  <si>
    <t xml:space="preserve">Natural lake; outflow locks-controlled</t>
  </si>
  <si>
    <t xml:space="preserve">Lake Chelan</t>
  </si>
  <si>
    <t xml:space="preserve">Chelan PUD (Lake Chelan Dam)</t>
  </si>
  <si>
    <t xml:space="preserve">chelanpud.org lake level</t>
  </si>
  <si>
    <t xml:space="preserve">Natural lake, dam-raised ~21 ft</t>
  </si>
  <si>
    <t xml:space="preserve">Lake Roosevelt (FDR)</t>
  </si>
  <si>
    <t xml:space="preserve">USBR (Grand Coulee)</t>
  </si>
  <si>
    <t xml:space="preserve">Columbia R. reservoir</t>
  </si>
  <si>
    <t xml:space="preserve">Banks Lake</t>
  </si>
  <si>
    <t xml:space="preserve">USBR (Columbia Basin Project)</t>
  </si>
  <si>
    <t xml:space="preserve">Equalizing reservoir</t>
  </si>
  <si>
    <t xml:space="preserve">Moses Lake</t>
  </si>
  <si>
    <t xml:space="preserve">Reclamation-augmented (control dam)</t>
  </si>
  <si>
    <t xml:space="preserve">Natural lake, small outlet dam</t>
  </si>
  <si>
    <t xml:space="preserve">Lake Union</t>
  </si>
  <si>
    <t xml:space="preserve">USACE (Ship Canal/Locks)</t>
  </si>
  <si>
    <t xml:space="preserve">Natural; ship-canal controlled</t>
  </si>
  <si>
    <t xml:space="preserve">Lake Sammamish</t>
  </si>
  <si>
    <t xml:space="preserve">King County (outlet weir)</t>
  </si>
  <si>
    <t xml:space="preserve">Natural lake, weir-controlled</t>
  </si>
  <si>
    <t xml:space="preserve">Ross Lake</t>
  </si>
  <si>
    <t xml:space="preserve">Seattle City Light (Ross Dam)</t>
  </si>
  <si>
    <t xml:space="preserve">seattle.gov/city-light Skagit</t>
  </si>
  <si>
    <t xml:space="preserve">Skagit hydro reservoir</t>
  </si>
  <si>
    <t xml:space="preserve">Potholes Reservoir</t>
  </si>
  <si>
    <t xml:space="preserve">USBR (O'Sullivan Dam)</t>
  </si>
  <si>
    <t xml:space="preserve">Columbia Basin Project</t>
  </si>
  <si>
    <t xml:space="preserve">Riffe Lake</t>
  </si>
  <si>
    <t xml:space="preserve">Tacoma Power (Mossyrock Dam)</t>
  </si>
  <si>
    <t xml:space="preserve">Tacoma Power Cowlitz — mytpu.org</t>
  </si>
  <si>
    <t xml:space="preserve">Cowlitz R. reservoir</t>
  </si>
  <si>
    <t xml:space="preserve">Lake Crescent</t>
  </si>
  <si>
    <t xml:space="preserve">NPS (natural, no dam)</t>
  </si>
  <si>
    <t xml:space="preserve">Natural lake, Olympic NP</t>
  </si>
  <si>
    <t xml:space="preserve">Lake Quinault</t>
  </si>
  <si>
    <t xml:space="preserve">Quinault Indian Nation (natural)</t>
  </si>
  <si>
    <t xml:space="preserve">Natural lake, no dam</t>
  </si>
  <si>
    <t xml:space="preserve">Lake Cushman</t>
  </si>
  <si>
    <t xml:space="preserve">Tacoma Power (Cushman Dam)</t>
  </si>
  <si>
    <t xml:space="preserve">Tacoma Power — mytpu.org</t>
  </si>
  <si>
    <t xml:space="preserve">N. Fork Skokomish reservoir</t>
  </si>
  <si>
    <t xml:space="preserve">WV</t>
  </si>
  <si>
    <t xml:space="preserve">Summersville Lake</t>
  </si>
  <si>
    <t xml:space="preserve">Gauley R. flood control</t>
  </si>
  <si>
    <t xml:space="preserve">Sutton Lake</t>
  </si>
  <si>
    <t xml:space="preserve">Elk R.</t>
  </si>
  <si>
    <t xml:space="preserve">Cheat Lake</t>
  </si>
  <si>
    <t xml:space="preserve">Eagle Creek Renewable (Lake Lynn)</t>
  </si>
  <si>
    <t xml:space="preserve">Private FERC hydro</t>
  </si>
  <si>
    <t xml:space="preserve">Stonewall Jackson Lake</t>
  </si>
  <si>
    <t xml:space="preserve">W. Fork R.</t>
  </si>
  <si>
    <t xml:space="preserve">Tygart Lake</t>
  </si>
  <si>
    <t xml:space="preserve">Tygart Valley R.</t>
  </si>
  <si>
    <t xml:space="preserve">Bluestone Lake</t>
  </si>
  <si>
    <t xml:space="preserve">New R. flood control</t>
  </si>
  <si>
    <t xml:space="preserve">Burnsville Lake</t>
  </si>
  <si>
    <t xml:space="preserve">Little Kanawha R.</t>
  </si>
  <si>
    <t xml:space="preserve">East Lynn Lake</t>
  </si>
  <si>
    <t xml:space="preserve">Twelvepole Creek</t>
  </si>
  <si>
    <t xml:space="preserve">Beech Fork Lake</t>
  </si>
  <si>
    <t xml:space="preserve">Beech Fork</t>
  </si>
  <si>
    <t xml:space="preserve">R.D. Bailey Lake</t>
  </si>
  <si>
    <t xml:space="preserve">Guyandotte R.</t>
  </si>
  <si>
    <t xml:space="preserve">N. Branch Potomac</t>
  </si>
  <si>
    <t xml:space="preserve">Mount Storm Lake</t>
  </si>
  <si>
    <t xml:space="preserve">Dominion (power-plant cooling)</t>
  </si>
  <si>
    <t xml:space="preserve">private, no feed</t>
  </si>
  <si>
    <t xml:space="preserve">Cooling reservoir, Stony R.</t>
  </si>
  <si>
    <t xml:space="preserve">WI</t>
  </si>
  <si>
    <t xml:space="preserve">Lake Winnebago</t>
  </si>
  <si>
    <t xml:space="preserve">USACE (Menasha/Neenah outlet dams)</t>
  </si>
  <si>
    <t xml:space="preserve">NOAA Great Lakes levels — glerl.noaa.gov</t>
  </si>
  <si>
    <t xml:space="preserve">Great Lake</t>
  </si>
  <si>
    <t xml:space="preserve">NOAA / USACE (Sault regulation)</t>
  </si>
  <si>
    <t xml:space="preserve">Great Lake, regulated at outlet</t>
  </si>
  <si>
    <t xml:space="preserve">Green Bay</t>
  </si>
  <si>
    <t xml:space="preserve">NOAA / USACE</t>
  </si>
  <si>
    <t xml:space="preserve">Bay of Lake Michigan</t>
  </si>
  <si>
    <t xml:space="preserve">Lake Mendota</t>
  </si>
  <si>
    <t xml:space="preserve">Dane County (Tenney/Yahara dams)</t>
  </si>
  <si>
    <t xml:space="preserve">Natural, Yahara chain control</t>
  </si>
  <si>
    <t xml:space="preserve">Lake Monona</t>
  </si>
  <si>
    <t xml:space="preserve">Dane County (Yahara dams)</t>
  </si>
  <si>
    <t xml:space="preserve">Natural, chain control</t>
  </si>
  <si>
    <t xml:space="preserve">Chippewa Flowage</t>
  </si>
  <si>
    <t xml:space="preserve">Xcel Energy (Winter Dam) + WDNR</t>
  </si>
  <si>
    <t xml:space="preserve">Impoundment</t>
  </si>
  <si>
    <t xml:space="preserve">Lake Petenwell</t>
  </si>
  <si>
    <t xml:space="preserve">Wisconsin River Power Co</t>
  </si>
  <si>
    <t xml:space="preserve">WI River flowage</t>
  </si>
  <si>
    <t xml:space="preserve">Castle Rock Lake</t>
  </si>
  <si>
    <t xml:space="preserve">Lac Courte Oreilles</t>
  </si>
  <si>
    <t xml:space="preserve">Natural (no significant dam)</t>
  </si>
  <si>
    <t xml:space="preserve">Lake Geneva</t>
  </si>
  <si>
    <t xml:space="preserve">Natural, small outlet dam</t>
  </si>
  <si>
    <t xml:space="preserve">Big Green Lake</t>
  </si>
  <si>
    <t xml:space="preserve">Deepest inland WI lake</t>
  </si>
  <si>
    <t xml:space="preserve">Lake Wisconsin</t>
  </si>
  <si>
    <t xml:space="preserve">Alliant Energy (Prairie du Sac Dam)</t>
  </si>
  <si>
    <t xml:space="preserve">WI River impoundment</t>
  </si>
  <si>
    <t xml:space="preserve">WY</t>
  </si>
  <si>
    <t xml:space="preserve">Yellowstone Lake</t>
  </si>
  <si>
    <t xml:space="preserve">USBR (Upper Colorado)</t>
  </si>
  <si>
    <t xml:space="preserve">Jackson Lake</t>
  </si>
  <si>
    <t xml:space="preserve">USBR (Jackson Lake Dam)</t>
  </si>
  <si>
    <t xml:space="preserve">Natural glacial lake, USBR dam-controlled</t>
  </si>
  <si>
    <t xml:space="preserve">USBR RISE / Hydromet — data.usbr.gov</t>
  </si>
  <si>
    <t xml:space="preserve">Bighorn R.</t>
  </si>
  <si>
    <t xml:space="preserve">Boysen Reservoir</t>
  </si>
  <si>
    <t xml:space="preserve">Wind R.</t>
  </si>
  <si>
    <t xml:space="preserve">Pathfinder Reservoir</t>
  </si>
  <si>
    <t xml:space="preserve">N. Platte R.</t>
  </si>
  <si>
    <t xml:space="preserve">Seminoe Reservoir</t>
  </si>
  <si>
    <t xml:space="preserve">Glendo Reservoir</t>
  </si>
  <si>
    <t xml:space="preserve">Buffalo Bill Reservoir</t>
  </si>
  <si>
    <t xml:space="preserve">Shoshone R.</t>
  </si>
  <si>
    <t xml:space="preserve">Fontenelle Reservoir</t>
  </si>
  <si>
    <t xml:space="preserve">Keyhole Reservoir</t>
  </si>
  <si>
    <t xml:space="preserve">USBR (Keyhole Dam)</t>
  </si>
  <si>
    <t xml:space="preserve">Belle Fourche R.; USACE flood ops</t>
  </si>
  <si>
    <t xml:space="preserve">Jenny Lake</t>
  </si>
  <si>
    <t xml:space="preserve">Alcova Reservoir</t>
  </si>
  <si>
    <t xml:space="preserve">Sector — Lakes: Coordinates, Full Pool, Dams, Release APIs &amp; Water-Temp</t>
  </si>
  <si>
    <t xml:space="preserve">647 lakes. Full pool = normal reservoir pool elev (ft); natural lakes show normal surface elev (Pool Basis flags which).</t>
  </si>
  <si>
    <t xml:space="preserve">Dam vs. No-Dam</t>
  </si>
  <si>
    <t xml:space="preserve">Metric</t>
  </si>
  <si>
    <t xml:space="preserve">Count</t>
  </si>
  <si>
    <t xml:space="preserve">Share</t>
  </si>
  <si>
    <t xml:space="preserve">Total lakes</t>
  </si>
  <si>
    <t xml:space="preserve">Has a dam</t>
  </si>
  <si>
    <t xml:space="preserve">No dam (natural)</t>
  </si>
  <si>
    <t xml:space="preserve">Full-pool data</t>
  </si>
  <si>
    <t xml:space="preserve">Basis</t>
  </si>
  <si>
    <t xml:space="preserve">Managed full pool (reservoir)</t>
  </si>
  <si>
    <t xml:space="preserve">Natural surface elevation</t>
  </si>
  <si>
    <t xml:space="preserve">High-confidence elevations</t>
  </si>
  <si>
    <t xml:space="preserve">Med-confidence elevations</t>
  </si>
  <si>
    <t xml:space="preserve">Low-confidence (verify)</t>
  </si>
  <si>
    <t xml:space="preserve">Release-Data API availability</t>
  </si>
  <si>
    <t xml:space="preserve">Dedicated operator API/feed</t>
  </si>
  <si>
    <t xml:space="preserve">USGS-only (NWIS gage)</t>
  </si>
  <si>
    <t xml:space="preserve">Any programmatic release data</t>
  </si>
  <si>
    <t xml:space="preserve">Water-temperature source</t>
  </si>
  <si>
    <t xml:space="preserve">Tier</t>
  </si>
  <si>
    <t xml:space="preserve">Buoy / in-situ real-time</t>
  </si>
  <si>
    <t xml:space="preserve">In-situ measured (USGS/WQP)</t>
  </si>
  <si>
    <t xml:space="preserve">Full-pool datum varies by operator (msl/NGVD29/NAVD88); values are reference elevations. Verify Low-confidence rows before production.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</si>
</sst>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#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B7A2F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CF3CF"/>
        <bgColor rgb="FFF2F2F2"/>
      </patternFill>
    </fill>
    <fill>
      <patternFill patternType="solid">
        <fgColor rgb="FFEAF2F8"/>
        <bgColor rgb="FFF2F2F2"/>
      </patternFill>
    </fill>
    <fill>
      <patternFill patternType="solid">
        <fgColor rgb="FFFADBD8"/>
        <bgColor rgb="FFD9D9D9"/>
      </patternFill>
    </fill>
    <fill>
      <patternFill patternType="solid">
        <fgColor rgb="FFF2F2F2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1B7A2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2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D5F5E3"/>
      <rgbColor rgb="FFF2F2F2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6"/>
    <col collapsed="false" customWidth="true" hidden="false" outlineLevel="0" max="10" min="10" style="0" width="7"/>
    <col collapsed="false" customWidth="true" hidden="false" outlineLevel="0" max="11" min="11" style="0" width="30"/>
    <col collapsed="false" customWidth="true" hidden="false" outlineLevel="0" max="12" min="12" style="0" width="12"/>
    <col collapsed="false" customWidth="true" hidden="false" outlineLevel="0" max="13" min="13" style="0" width="38"/>
    <col collapsed="false" customWidth="true" hidden="false" outlineLevel="0" max="14" min="14" style="0" width="9"/>
    <col collapsed="false" customWidth="true" hidden="false" outlineLevel="0" max="15" min="15" style="0" width="24"/>
    <col collapsed="false" customWidth="true" hidden="false" outlineLevel="0" max="16" min="16" style="0" width="36"/>
    <col collapsed="false" customWidth="true" hidden="false" outlineLevel="0" max="17" min="17" style="0" width="3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3.85" hidden="false" customHeight="false" outlineLevel="0" collapsed="false">
      <c r="A2" s="2" t="s">
        <v>17</v>
      </c>
      <c r="B2" s="2" t="s">
        <v>18</v>
      </c>
      <c r="C2" s="3" t="n">
        <v>34.42</v>
      </c>
      <c r="D2" s="3" t="n">
        <v>-86.26</v>
      </c>
      <c r="E2" s="4" t="s">
        <v>19</v>
      </c>
      <c r="F2" s="5" t="n">
        <v>595.44</v>
      </c>
      <c r="G2" s="6" t="s">
        <v>20</v>
      </c>
      <c r="H2" s="4" t="s">
        <v>19</v>
      </c>
      <c r="I2" s="7" t="s">
        <v>21</v>
      </c>
      <c r="J2" s="2" t="s">
        <v>22</v>
      </c>
      <c r="K2" s="2" t="s">
        <v>23</v>
      </c>
      <c r="L2" s="6" t="s">
        <v>24</v>
      </c>
      <c r="M2" s="8" t="s">
        <v>25</v>
      </c>
      <c r="N2" s="2" t="s">
        <v>22</v>
      </c>
      <c r="O2" s="6" t="s">
        <v>26</v>
      </c>
      <c r="P2" s="8" t="s">
        <v>27</v>
      </c>
      <c r="Q2" s="8" t="s">
        <v>28</v>
      </c>
    </row>
    <row r="3" customFormat="false" ht="23.85" hidden="false" customHeight="false" outlineLevel="0" collapsed="false">
      <c r="A3" s="2" t="s">
        <v>17</v>
      </c>
      <c r="B3" s="2" t="s">
        <v>29</v>
      </c>
      <c r="C3" s="3" t="n">
        <v>34.63</v>
      </c>
      <c r="D3" s="3" t="n">
        <v>-87.03</v>
      </c>
      <c r="E3" s="4" t="s">
        <v>19</v>
      </c>
      <c r="F3" s="5" t="n">
        <v>556.3</v>
      </c>
      <c r="G3" s="6" t="s">
        <v>20</v>
      </c>
      <c r="H3" s="4" t="s">
        <v>19</v>
      </c>
      <c r="I3" s="7" t="s">
        <v>21</v>
      </c>
      <c r="J3" s="2" t="s">
        <v>22</v>
      </c>
      <c r="K3" s="2" t="s">
        <v>23</v>
      </c>
      <c r="L3" s="6" t="s">
        <v>24</v>
      </c>
      <c r="M3" s="8" t="s">
        <v>30</v>
      </c>
      <c r="N3" s="2" t="s">
        <v>22</v>
      </c>
      <c r="O3" s="6" t="s">
        <v>26</v>
      </c>
      <c r="P3" s="8" t="s">
        <v>27</v>
      </c>
      <c r="Q3" s="8" t="s">
        <v>31</v>
      </c>
    </row>
    <row r="4" customFormat="false" ht="23.85" hidden="false" customHeight="false" outlineLevel="0" collapsed="false">
      <c r="A4" s="2" t="s">
        <v>17</v>
      </c>
      <c r="B4" s="2" t="s">
        <v>32</v>
      </c>
      <c r="C4" s="3" t="n">
        <v>34.77</v>
      </c>
      <c r="D4" s="3" t="n">
        <v>-87.45</v>
      </c>
      <c r="E4" s="4" t="s">
        <v>19</v>
      </c>
      <c r="F4" s="5" t="n">
        <v>507.88</v>
      </c>
      <c r="G4" s="6" t="s">
        <v>20</v>
      </c>
      <c r="H4" s="4" t="s">
        <v>19</v>
      </c>
      <c r="I4" s="7" t="s">
        <v>21</v>
      </c>
      <c r="J4" s="2" t="s">
        <v>22</v>
      </c>
      <c r="K4" s="2" t="s">
        <v>23</v>
      </c>
      <c r="L4" s="6" t="s">
        <v>24</v>
      </c>
      <c r="M4" s="8" t="s">
        <v>30</v>
      </c>
      <c r="N4" s="2" t="s">
        <v>22</v>
      </c>
      <c r="O4" s="6" t="s">
        <v>26</v>
      </c>
      <c r="P4" s="8" t="s">
        <v>27</v>
      </c>
      <c r="Q4" s="8" t="s">
        <v>31</v>
      </c>
    </row>
    <row r="5" customFormat="false" ht="23.85" hidden="false" customHeight="false" outlineLevel="0" collapsed="false">
      <c r="A5" s="2" t="s">
        <v>17</v>
      </c>
      <c r="B5" s="2" t="s">
        <v>33</v>
      </c>
      <c r="C5" s="3" t="n">
        <v>34.95</v>
      </c>
      <c r="D5" s="3" t="n">
        <v>-88.1</v>
      </c>
      <c r="E5" s="4" t="s">
        <v>19</v>
      </c>
      <c r="F5" s="5" t="n">
        <v>414</v>
      </c>
      <c r="G5" s="6" t="s">
        <v>20</v>
      </c>
      <c r="H5" s="4" t="s">
        <v>19</v>
      </c>
      <c r="I5" s="7" t="s">
        <v>21</v>
      </c>
      <c r="J5" s="2" t="s">
        <v>22</v>
      </c>
      <c r="K5" s="2" t="s">
        <v>23</v>
      </c>
      <c r="L5" s="6" t="s">
        <v>24</v>
      </c>
      <c r="M5" s="8" t="s">
        <v>30</v>
      </c>
      <c r="N5" s="2" t="s">
        <v>22</v>
      </c>
      <c r="O5" s="6" t="s">
        <v>26</v>
      </c>
      <c r="P5" s="8" t="s">
        <v>27</v>
      </c>
      <c r="Q5" s="8" t="s">
        <v>31</v>
      </c>
    </row>
    <row r="6" customFormat="false" ht="23.85" hidden="false" customHeight="false" outlineLevel="0" collapsed="false">
      <c r="A6" s="2" t="s">
        <v>17</v>
      </c>
      <c r="B6" s="2" t="s">
        <v>34</v>
      </c>
      <c r="C6" s="3" t="n">
        <v>34.18</v>
      </c>
      <c r="D6" s="3" t="n">
        <v>-85.65</v>
      </c>
      <c r="E6" s="4" t="s">
        <v>19</v>
      </c>
      <c r="F6" s="5" t="n">
        <v>564</v>
      </c>
      <c r="G6" s="6" t="s">
        <v>20</v>
      </c>
      <c r="H6" s="4" t="s">
        <v>19</v>
      </c>
      <c r="I6" s="7" t="s">
        <v>21</v>
      </c>
      <c r="J6" s="2" t="s">
        <v>22</v>
      </c>
      <c r="K6" s="2" t="s">
        <v>35</v>
      </c>
      <c r="L6" s="9" t="s">
        <v>36</v>
      </c>
      <c r="M6" s="8" t="s">
        <v>37</v>
      </c>
      <c r="N6" s="2" t="s">
        <v>22</v>
      </c>
      <c r="O6" s="6" t="s">
        <v>26</v>
      </c>
      <c r="P6" s="8" t="s">
        <v>27</v>
      </c>
      <c r="Q6" s="8" t="s">
        <v>38</v>
      </c>
    </row>
    <row r="7" customFormat="false" ht="23.85" hidden="false" customHeight="false" outlineLevel="0" collapsed="false">
      <c r="A7" s="2" t="s">
        <v>17</v>
      </c>
      <c r="B7" s="2" t="s">
        <v>39</v>
      </c>
      <c r="C7" s="3" t="n">
        <v>32.7</v>
      </c>
      <c r="D7" s="3" t="n">
        <v>-85.92</v>
      </c>
      <c r="E7" s="4" t="s">
        <v>19</v>
      </c>
      <c r="F7" s="5" t="n">
        <v>490</v>
      </c>
      <c r="G7" s="6" t="s">
        <v>20</v>
      </c>
      <c r="H7" s="4" t="s">
        <v>19</v>
      </c>
      <c r="I7" s="7" t="s">
        <v>21</v>
      </c>
      <c r="J7" s="2" t="s">
        <v>22</v>
      </c>
      <c r="K7" s="2" t="s">
        <v>35</v>
      </c>
      <c r="L7" s="9" t="s">
        <v>36</v>
      </c>
      <c r="M7" s="8" t="s">
        <v>40</v>
      </c>
      <c r="N7" s="2" t="s">
        <v>41</v>
      </c>
      <c r="O7" s="9" t="s">
        <v>42</v>
      </c>
      <c r="P7" s="8" t="s">
        <v>43</v>
      </c>
      <c r="Q7" s="8" t="s">
        <v>44</v>
      </c>
    </row>
    <row r="8" customFormat="false" ht="23.85" hidden="false" customHeight="false" outlineLevel="0" collapsed="false">
      <c r="A8" s="2" t="s">
        <v>17</v>
      </c>
      <c r="B8" s="2" t="s">
        <v>45</v>
      </c>
      <c r="C8" s="3" t="n">
        <v>33.47</v>
      </c>
      <c r="D8" s="3" t="n">
        <v>-86.32</v>
      </c>
      <c r="E8" s="4" t="s">
        <v>19</v>
      </c>
      <c r="F8" s="5" t="n">
        <v>465</v>
      </c>
      <c r="G8" s="6" t="s">
        <v>20</v>
      </c>
      <c r="H8" s="4" t="s">
        <v>19</v>
      </c>
      <c r="I8" s="7" t="s">
        <v>21</v>
      </c>
      <c r="J8" s="2" t="s">
        <v>22</v>
      </c>
      <c r="K8" s="2" t="s">
        <v>35</v>
      </c>
      <c r="L8" s="9" t="s">
        <v>36</v>
      </c>
      <c r="M8" s="8" t="s">
        <v>46</v>
      </c>
      <c r="N8" s="2" t="s">
        <v>22</v>
      </c>
      <c r="O8" s="6" t="s">
        <v>26</v>
      </c>
      <c r="P8" s="8" t="s">
        <v>27</v>
      </c>
      <c r="Q8" s="8" t="s">
        <v>47</v>
      </c>
    </row>
    <row r="9" customFormat="false" ht="23.85" hidden="false" customHeight="false" outlineLevel="0" collapsed="false">
      <c r="A9" s="2" t="s">
        <v>17</v>
      </c>
      <c r="B9" s="2" t="s">
        <v>48</v>
      </c>
      <c r="C9" s="3" t="n">
        <v>33</v>
      </c>
      <c r="D9" s="3" t="n">
        <v>-86.52</v>
      </c>
      <c r="E9" s="10" t="s">
        <v>49</v>
      </c>
      <c r="F9" s="5" t="n">
        <v>396</v>
      </c>
      <c r="G9" s="6" t="s">
        <v>20</v>
      </c>
      <c r="H9" s="4" t="s">
        <v>19</v>
      </c>
      <c r="I9" s="7" t="s">
        <v>21</v>
      </c>
      <c r="J9" s="2" t="s">
        <v>22</v>
      </c>
      <c r="K9" s="2" t="s">
        <v>35</v>
      </c>
      <c r="L9" s="9" t="s">
        <v>36</v>
      </c>
      <c r="M9" s="8" t="s">
        <v>50</v>
      </c>
      <c r="N9" s="2" t="s">
        <v>22</v>
      </c>
      <c r="O9" s="6" t="s">
        <v>26</v>
      </c>
      <c r="P9" s="8" t="s">
        <v>27</v>
      </c>
      <c r="Q9" s="8" t="s">
        <v>47</v>
      </c>
    </row>
    <row r="10" customFormat="false" ht="23.85" hidden="false" customHeight="false" outlineLevel="0" collapsed="false">
      <c r="A10" s="2" t="s">
        <v>17</v>
      </c>
      <c r="B10" s="2" t="s">
        <v>51</v>
      </c>
      <c r="C10" s="3" t="n">
        <v>33.8</v>
      </c>
      <c r="D10" s="3" t="n">
        <v>-86.05</v>
      </c>
      <c r="E10" s="10" t="s">
        <v>49</v>
      </c>
      <c r="F10" s="5" t="n">
        <v>508</v>
      </c>
      <c r="G10" s="6" t="s">
        <v>20</v>
      </c>
      <c r="H10" s="4" t="s">
        <v>19</v>
      </c>
      <c r="I10" s="7" t="s">
        <v>21</v>
      </c>
      <c r="J10" s="2" t="s">
        <v>22</v>
      </c>
      <c r="K10" s="2" t="s">
        <v>35</v>
      </c>
      <c r="L10" s="9" t="s">
        <v>36</v>
      </c>
      <c r="M10" s="8" t="s">
        <v>52</v>
      </c>
      <c r="N10" s="2" t="s">
        <v>22</v>
      </c>
      <c r="O10" s="6" t="s">
        <v>26</v>
      </c>
      <c r="P10" s="8" t="s">
        <v>27</v>
      </c>
      <c r="Q10" s="8" t="s">
        <v>47</v>
      </c>
    </row>
    <row r="11" customFormat="false" ht="23.85" hidden="false" customHeight="false" outlineLevel="0" collapsed="false">
      <c r="A11" s="2" t="s">
        <v>17</v>
      </c>
      <c r="B11" s="2" t="s">
        <v>53</v>
      </c>
      <c r="C11" s="3" t="n">
        <v>34.07</v>
      </c>
      <c r="D11" s="3" t="n">
        <v>-87.1</v>
      </c>
      <c r="E11" s="4" t="s">
        <v>19</v>
      </c>
      <c r="F11" s="5" t="n">
        <v>510</v>
      </c>
      <c r="G11" s="6" t="s">
        <v>20</v>
      </c>
      <c r="H11" s="4" t="s">
        <v>19</v>
      </c>
      <c r="I11" s="7" t="s">
        <v>21</v>
      </c>
      <c r="J11" s="2" t="s">
        <v>22</v>
      </c>
      <c r="K11" s="2" t="s">
        <v>35</v>
      </c>
      <c r="L11" s="9" t="s">
        <v>36</v>
      </c>
      <c r="M11" s="8" t="s">
        <v>54</v>
      </c>
      <c r="N11" s="2" t="s">
        <v>41</v>
      </c>
      <c r="O11" s="9" t="s">
        <v>42</v>
      </c>
      <c r="P11" s="8" t="s">
        <v>43</v>
      </c>
      <c r="Q11" s="8" t="s">
        <v>55</v>
      </c>
    </row>
    <row r="12" customFormat="false" ht="23.85" hidden="false" customHeight="false" outlineLevel="0" collapsed="false">
      <c r="A12" s="2" t="s">
        <v>17</v>
      </c>
      <c r="B12" s="2" t="s">
        <v>56</v>
      </c>
      <c r="C12" s="3" t="n">
        <v>31.9</v>
      </c>
      <c r="D12" s="3" t="n">
        <v>-85.1</v>
      </c>
      <c r="E12" s="4" t="s">
        <v>19</v>
      </c>
      <c r="F12" s="5" t="n">
        <v>190</v>
      </c>
      <c r="G12" s="6" t="s">
        <v>20</v>
      </c>
      <c r="H12" s="4" t="s">
        <v>19</v>
      </c>
      <c r="I12" s="7" t="s">
        <v>21</v>
      </c>
      <c r="J12" s="2" t="s">
        <v>22</v>
      </c>
      <c r="K12" s="2" t="s">
        <v>57</v>
      </c>
      <c r="L12" s="6" t="s">
        <v>24</v>
      </c>
      <c r="M12" s="8" t="s">
        <v>58</v>
      </c>
      <c r="N12" s="2" t="s">
        <v>22</v>
      </c>
      <c r="O12" s="6" t="s">
        <v>26</v>
      </c>
      <c r="P12" s="8" t="s">
        <v>27</v>
      </c>
      <c r="Q12" s="8" t="s">
        <v>59</v>
      </c>
    </row>
    <row r="13" customFormat="false" ht="23.85" hidden="false" customHeight="false" outlineLevel="0" collapsed="false">
      <c r="A13" s="2" t="s">
        <v>17</v>
      </c>
      <c r="B13" s="2" t="s">
        <v>60</v>
      </c>
      <c r="C13" s="3" t="n">
        <v>32.62</v>
      </c>
      <c r="D13" s="3" t="n">
        <v>-86.26</v>
      </c>
      <c r="E13" s="10" t="s">
        <v>49</v>
      </c>
      <c r="F13" s="5" t="n">
        <v>252</v>
      </c>
      <c r="G13" s="6" t="s">
        <v>20</v>
      </c>
      <c r="H13" s="4" t="s">
        <v>19</v>
      </c>
      <c r="I13" s="7" t="s">
        <v>21</v>
      </c>
      <c r="J13" s="2" t="s">
        <v>22</v>
      </c>
      <c r="K13" s="2" t="s">
        <v>35</v>
      </c>
      <c r="L13" s="9" t="s">
        <v>36</v>
      </c>
      <c r="M13" s="8" t="s">
        <v>61</v>
      </c>
      <c r="N13" s="2" t="s">
        <v>41</v>
      </c>
      <c r="O13" s="9" t="s">
        <v>42</v>
      </c>
      <c r="P13" s="8" t="s">
        <v>43</v>
      </c>
      <c r="Q13" s="8" t="s">
        <v>47</v>
      </c>
    </row>
    <row r="14" customFormat="false" ht="23.85" hidden="false" customHeight="false" outlineLevel="0" collapsed="false">
      <c r="A14" s="2" t="s">
        <v>17</v>
      </c>
      <c r="B14" s="2" t="s">
        <v>62</v>
      </c>
      <c r="C14" s="3" t="n">
        <v>33.45</v>
      </c>
      <c r="D14" s="3" t="n">
        <v>-87.35</v>
      </c>
      <c r="E14" s="10" t="s">
        <v>49</v>
      </c>
      <c r="F14" s="5" t="n">
        <v>255</v>
      </c>
      <c r="G14" s="6" t="s">
        <v>20</v>
      </c>
      <c r="H14" s="10" t="s">
        <v>49</v>
      </c>
      <c r="I14" s="7" t="s">
        <v>21</v>
      </c>
      <c r="J14" s="2" t="s">
        <v>22</v>
      </c>
      <c r="K14" s="2" t="s">
        <v>35</v>
      </c>
      <c r="L14" s="9" t="s">
        <v>36</v>
      </c>
      <c r="M14" s="8" t="s">
        <v>63</v>
      </c>
      <c r="N14" s="2" t="s">
        <v>41</v>
      </c>
      <c r="O14" s="9" t="s">
        <v>42</v>
      </c>
      <c r="P14" s="8" t="s">
        <v>43</v>
      </c>
      <c r="Q14" s="8" t="s">
        <v>64</v>
      </c>
    </row>
    <row r="15" customFormat="false" ht="23.85" hidden="false" customHeight="false" outlineLevel="0" collapsed="false">
      <c r="A15" s="2" t="s">
        <v>65</v>
      </c>
      <c r="B15" s="2" t="s">
        <v>66</v>
      </c>
      <c r="C15" s="3" t="n">
        <v>59.55</v>
      </c>
      <c r="D15" s="3" t="n">
        <v>-155</v>
      </c>
      <c r="E15" s="4" t="s">
        <v>19</v>
      </c>
      <c r="F15" s="5" t="n">
        <v>49</v>
      </c>
      <c r="G15" s="11" t="s">
        <v>67</v>
      </c>
      <c r="H15" s="12" t="s">
        <v>68</v>
      </c>
      <c r="I15" s="13" t="s">
        <v>69</v>
      </c>
      <c r="J15" s="2" t="s">
        <v>70</v>
      </c>
      <c r="K15" s="2" t="s">
        <v>71</v>
      </c>
      <c r="L15" s="14" t="s">
        <v>72</v>
      </c>
      <c r="M15" s="8" t="s">
        <v>73</v>
      </c>
      <c r="N15" s="2" t="s">
        <v>70</v>
      </c>
      <c r="O15" s="9" t="s">
        <v>42</v>
      </c>
      <c r="P15" s="8" t="s">
        <v>43</v>
      </c>
      <c r="Q15" s="8" t="s">
        <v>74</v>
      </c>
    </row>
    <row r="16" customFormat="false" ht="23.85" hidden="false" customHeight="false" outlineLevel="0" collapsed="false">
      <c r="A16" s="2" t="s">
        <v>65</v>
      </c>
      <c r="B16" s="2" t="s">
        <v>75</v>
      </c>
      <c r="C16" s="3" t="n">
        <v>57.9</v>
      </c>
      <c r="D16" s="3" t="n">
        <v>-156.5</v>
      </c>
      <c r="E16" s="4" t="s">
        <v>19</v>
      </c>
      <c r="F16" s="5" t="n">
        <v>30</v>
      </c>
      <c r="G16" s="11" t="s">
        <v>67</v>
      </c>
      <c r="H16" s="12" t="s">
        <v>68</v>
      </c>
      <c r="I16" s="13" t="s">
        <v>69</v>
      </c>
      <c r="J16" s="2" t="s">
        <v>70</v>
      </c>
      <c r="K16" s="2" t="s">
        <v>71</v>
      </c>
      <c r="L16" s="14" t="s">
        <v>72</v>
      </c>
      <c r="M16" s="8" t="s">
        <v>73</v>
      </c>
      <c r="N16" s="2" t="s">
        <v>70</v>
      </c>
      <c r="O16" s="9" t="s">
        <v>42</v>
      </c>
      <c r="P16" s="8" t="s">
        <v>43</v>
      </c>
      <c r="Q16" s="8" t="s">
        <v>76</v>
      </c>
    </row>
    <row r="17" customFormat="false" ht="23.85" hidden="false" customHeight="false" outlineLevel="0" collapsed="false">
      <c r="A17" s="2" t="s">
        <v>65</v>
      </c>
      <c r="B17" s="2" t="s">
        <v>77</v>
      </c>
      <c r="C17" s="3" t="n">
        <v>70.6</v>
      </c>
      <c r="D17" s="3" t="n">
        <v>-153.5</v>
      </c>
      <c r="E17" s="4" t="s">
        <v>19</v>
      </c>
      <c r="F17" s="5" t="n">
        <v>10</v>
      </c>
      <c r="G17" s="11" t="s">
        <v>67</v>
      </c>
      <c r="H17" s="12" t="s">
        <v>68</v>
      </c>
      <c r="I17" s="13" t="s">
        <v>69</v>
      </c>
      <c r="J17" s="2" t="s">
        <v>70</v>
      </c>
      <c r="K17" s="2" t="s">
        <v>71</v>
      </c>
      <c r="L17" s="14" t="s">
        <v>72</v>
      </c>
      <c r="M17" s="8" t="s">
        <v>73</v>
      </c>
      <c r="N17" s="2" t="s">
        <v>70</v>
      </c>
      <c r="O17" s="9" t="s">
        <v>42</v>
      </c>
      <c r="P17" s="8" t="s">
        <v>43</v>
      </c>
      <c r="Q17" s="8" t="s">
        <v>78</v>
      </c>
    </row>
    <row r="18" customFormat="false" ht="23.85" hidden="false" customHeight="false" outlineLevel="0" collapsed="false">
      <c r="A18" s="2" t="s">
        <v>65</v>
      </c>
      <c r="B18" s="2" t="s">
        <v>79</v>
      </c>
      <c r="C18" s="3" t="n">
        <v>58.7</v>
      </c>
      <c r="D18" s="3" t="n">
        <v>-156</v>
      </c>
      <c r="E18" s="4" t="s">
        <v>19</v>
      </c>
      <c r="F18" s="5" t="n">
        <v>34</v>
      </c>
      <c r="G18" s="11" t="s">
        <v>67</v>
      </c>
      <c r="H18" s="10" t="s">
        <v>49</v>
      </c>
      <c r="I18" s="13" t="s">
        <v>69</v>
      </c>
      <c r="J18" s="2" t="s">
        <v>70</v>
      </c>
      <c r="K18" s="2" t="s">
        <v>71</v>
      </c>
      <c r="L18" s="9" t="s">
        <v>36</v>
      </c>
      <c r="M18" s="8" t="s">
        <v>80</v>
      </c>
      <c r="N18" s="2" t="s">
        <v>41</v>
      </c>
      <c r="O18" s="9" t="s">
        <v>42</v>
      </c>
      <c r="P18" s="8" t="s">
        <v>43</v>
      </c>
      <c r="Q18" s="8" t="s">
        <v>81</v>
      </c>
    </row>
    <row r="19" customFormat="false" ht="23.85" hidden="false" customHeight="false" outlineLevel="0" collapsed="false">
      <c r="A19" s="2" t="s">
        <v>65</v>
      </c>
      <c r="B19" s="2" t="s">
        <v>82</v>
      </c>
      <c r="C19" s="3" t="n">
        <v>60.2</v>
      </c>
      <c r="D19" s="3" t="n">
        <v>-154.3</v>
      </c>
      <c r="E19" s="4" t="s">
        <v>19</v>
      </c>
      <c r="F19" s="5" t="n">
        <v>254</v>
      </c>
      <c r="G19" s="11" t="s">
        <v>67</v>
      </c>
      <c r="H19" s="10" t="s">
        <v>49</v>
      </c>
      <c r="I19" s="13" t="s">
        <v>69</v>
      </c>
      <c r="J19" s="2" t="s">
        <v>70</v>
      </c>
      <c r="K19" s="2" t="s">
        <v>71</v>
      </c>
      <c r="L19" s="14" t="s">
        <v>72</v>
      </c>
      <c r="M19" s="8" t="s">
        <v>73</v>
      </c>
      <c r="N19" s="2" t="s">
        <v>70</v>
      </c>
      <c r="O19" s="9" t="s">
        <v>42</v>
      </c>
      <c r="P19" s="8" t="s">
        <v>43</v>
      </c>
      <c r="Q19" s="8" t="s">
        <v>76</v>
      </c>
    </row>
    <row r="20" customFormat="false" ht="23.85" hidden="false" customHeight="false" outlineLevel="0" collapsed="false">
      <c r="A20" s="2" t="s">
        <v>65</v>
      </c>
      <c r="B20" s="2" t="s">
        <v>83</v>
      </c>
      <c r="C20" s="3" t="n">
        <v>60.1</v>
      </c>
      <c r="D20" s="3" t="n">
        <v>-150.9</v>
      </c>
      <c r="E20" s="4" t="s">
        <v>19</v>
      </c>
      <c r="F20" s="5" t="n">
        <v>110</v>
      </c>
      <c r="G20" s="11" t="s">
        <v>67</v>
      </c>
      <c r="H20" s="10" t="s">
        <v>49</v>
      </c>
      <c r="I20" s="13" t="s">
        <v>69</v>
      </c>
      <c r="J20" s="2" t="s">
        <v>70</v>
      </c>
      <c r="K20" s="2" t="s">
        <v>71</v>
      </c>
      <c r="L20" s="9" t="s">
        <v>36</v>
      </c>
      <c r="M20" s="8" t="s">
        <v>84</v>
      </c>
      <c r="N20" s="2" t="s">
        <v>41</v>
      </c>
      <c r="O20" s="9" t="s">
        <v>42</v>
      </c>
      <c r="P20" s="8" t="s">
        <v>43</v>
      </c>
      <c r="Q20" s="8" t="s">
        <v>85</v>
      </c>
    </row>
    <row r="21" customFormat="false" ht="23.85" hidden="false" customHeight="false" outlineLevel="0" collapsed="false">
      <c r="A21" s="2" t="s">
        <v>65</v>
      </c>
      <c r="B21" s="2" t="s">
        <v>86</v>
      </c>
      <c r="C21" s="3" t="n">
        <v>60.42</v>
      </c>
      <c r="D21" s="3" t="n">
        <v>-150.25</v>
      </c>
      <c r="E21" s="10" t="s">
        <v>49</v>
      </c>
      <c r="F21" s="5" t="n">
        <v>436</v>
      </c>
      <c r="G21" s="11" t="s">
        <v>67</v>
      </c>
      <c r="H21" s="10" t="s">
        <v>49</v>
      </c>
      <c r="I21" s="13" t="s">
        <v>69</v>
      </c>
      <c r="J21" s="2" t="s">
        <v>70</v>
      </c>
      <c r="K21" s="2" t="s">
        <v>71</v>
      </c>
      <c r="L21" s="9" t="s">
        <v>36</v>
      </c>
      <c r="M21" s="8" t="s">
        <v>87</v>
      </c>
      <c r="N21" s="2" t="s">
        <v>41</v>
      </c>
      <c r="O21" s="9" t="s">
        <v>42</v>
      </c>
      <c r="P21" s="8" t="s">
        <v>43</v>
      </c>
      <c r="Q21" s="8" t="s">
        <v>88</v>
      </c>
    </row>
    <row r="22" customFormat="false" ht="23.85" hidden="false" customHeight="false" outlineLevel="0" collapsed="false">
      <c r="A22" s="2" t="s">
        <v>65</v>
      </c>
      <c r="B22" s="2" t="s">
        <v>89</v>
      </c>
      <c r="C22" s="3" t="n">
        <v>60.43</v>
      </c>
      <c r="D22" s="3" t="n">
        <v>-150.35</v>
      </c>
      <c r="E22" s="4" t="s">
        <v>19</v>
      </c>
      <c r="F22" s="5" t="n">
        <v>200</v>
      </c>
      <c r="G22" s="11" t="s">
        <v>67</v>
      </c>
      <c r="H22" s="10" t="s">
        <v>49</v>
      </c>
      <c r="I22" s="13" t="s">
        <v>69</v>
      </c>
      <c r="J22" s="2" t="s">
        <v>70</v>
      </c>
      <c r="K22" s="2" t="s">
        <v>71</v>
      </c>
      <c r="L22" s="9" t="s">
        <v>36</v>
      </c>
      <c r="M22" s="8" t="s">
        <v>90</v>
      </c>
      <c r="N22" s="2" t="s">
        <v>41</v>
      </c>
      <c r="O22" s="9" t="s">
        <v>42</v>
      </c>
      <c r="P22" s="8" t="s">
        <v>43</v>
      </c>
      <c r="Q22" s="8" t="s">
        <v>91</v>
      </c>
    </row>
    <row r="23" customFormat="false" ht="23.85" hidden="false" customHeight="false" outlineLevel="0" collapsed="false">
      <c r="A23" s="2" t="s">
        <v>65</v>
      </c>
      <c r="B23" s="2" t="s">
        <v>92</v>
      </c>
      <c r="C23" s="3" t="n">
        <v>59.3</v>
      </c>
      <c r="D23" s="3" t="n">
        <v>-158.6</v>
      </c>
      <c r="E23" s="10" t="s">
        <v>49</v>
      </c>
      <c r="F23" s="5" t="n">
        <v>30</v>
      </c>
      <c r="G23" s="11" t="s">
        <v>67</v>
      </c>
      <c r="H23" s="12" t="s">
        <v>68</v>
      </c>
      <c r="I23" s="13" t="s">
        <v>69</v>
      </c>
      <c r="J23" s="2" t="s">
        <v>70</v>
      </c>
      <c r="K23" s="2" t="s">
        <v>71</v>
      </c>
      <c r="L23" s="14" t="s">
        <v>72</v>
      </c>
      <c r="M23" s="8" t="s">
        <v>73</v>
      </c>
      <c r="N23" s="2" t="s">
        <v>70</v>
      </c>
      <c r="O23" s="9" t="s">
        <v>42</v>
      </c>
      <c r="P23" s="8" t="s">
        <v>43</v>
      </c>
      <c r="Q23" s="8" t="s">
        <v>93</v>
      </c>
    </row>
    <row r="24" customFormat="false" ht="23.85" hidden="false" customHeight="false" outlineLevel="0" collapsed="false">
      <c r="A24" s="2" t="s">
        <v>65</v>
      </c>
      <c r="B24" s="2" t="s">
        <v>94</v>
      </c>
      <c r="C24" s="3" t="n">
        <v>64.42</v>
      </c>
      <c r="D24" s="3" t="n">
        <v>-146.85</v>
      </c>
      <c r="E24" s="4" t="s">
        <v>19</v>
      </c>
      <c r="F24" s="5" t="n">
        <v>715</v>
      </c>
      <c r="G24" s="11" t="s">
        <v>67</v>
      </c>
      <c r="H24" s="10" t="s">
        <v>49</v>
      </c>
      <c r="I24" s="13" t="s">
        <v>69</v>
      </c>
      <c r="J24" s="2" t="s">
        <v>70</v>
      </c>
      <c r="K24" s="2" t="s">
        <v>71</v>
      </c>
      <c r="L24" s="14" t="s">
        <v>72</v>
      </c>
      <c r="M24" s="8" t="s">
        <v>73</v>
      </c>
      <c r="N24" s="2" t="s">
        <v>70</v>
      </c>
      <c r="O24" s="9" t="s">
        <v>42</v>
      </c>
      <c r="P24" s="8" t="s">
        <v>43</v>
      </c>
      <c r="Q24" s="8" t="s">
        <v>95</v>
      </c>
    </row>
    <row r="25" customFormat="false" ht="23.85" hidden="false" customHeight="false" outlineLevel="0" collapsed="false">
      <c r="A25" s="2" t="s">
        <v>65</v>
      </c>
      <c r="B25" s="2" t="s">
        <v>96</v>
      </c>
      <c r="C25" s="3" t="n">
        <v>61.53</v>
      </c>
      <c r="D25" s="3" t="n">
        <v>-149.95</v>
      </c>
      <c r="E25" s="4" t="s">
        <v>19</v>
      </c>
      <c r="F25" s="5" t="n">
        <v>125</v>
      </c>
      <c r="G25" s="11" t="s">
        <v>67</v>
      </c>
      <c r="H25" s="12" t="s">
        <v>68</v>
      </c>
      <c r="I25" s="13" t="s">
        <v>69</v>
      </c>
      <c r="J25" s="2" t="s">
        <v>70</v>
      </c>
      <c r="K25" s="2" t="s">
        <v>71</v>
      </c>
      <c r="L25" s="14" t="s">
        <v>72</v>
      </c>
      <c r="M25" s="8" t="s">
        <v>73</v>
      </c>
      <c r="N25" s="2" t="s">
        <v>70</v>
      </c>
      <c r="O25" s="9" t="s">
        <v>42</v>
      </c>
      <c r="P25" s="8" t="s">
        <v>43</v>
      </c>
      <c r="Q25" s="8" t="s">
        <v>97</v>
      </c>
    </row>
    <row r="26" customFormat="false" ht="23.85" hidden="false" customHeight="false" outlineLevel="0" collapsed="false">
      <c r="A26" s="2" t="s">
        <v>65</v>
      </c>
      <c r="B26" s="2" t="s">
        <v>98</v>
      </c>
      <c r="C26" s="3" t="n">
        <v>57.5</v>
      </c>
      <c r="D26" s="3" t="n">
        <v>-156.9</v>
      </c>
      <c r="E26" s="10" t="s">
        <v>49</v>
      </c>
      <c r="F26" s="5" t="n">
        <v>10</v>
      </c>
      <c r="G26" s="11" t="s">
        <v>67</v>
      </c>
      <c r="H26" s="12" t="s">
        <v>68</v>
      </c>
      <c r="I26" s="13" t="s">
        <v>69</v>
      </c>
      <c r="J26" s="2" t="s">
        <v>70</v>
      </c>
      <c r="K26" s="2" t="s">
        <v>71</v>
      </c>
      <c r="L26" s="14" t="s">
        <v>72</v>
      </c>
      <c r="M26" s="8" t="s">
        <v>73</v>
      </c>
      <c r="N26" s="2" t="s">
        <v>70</v>
      </c>
      <c r="O26" s="9" t="s">
        <v>42</v>
      </c>
      <c r="P26" s="8" t="s">
        <v>43</v>
      </c>
      <c r="Q26" s="8" t="s">
        <v>99</v>
      </c>
    </row>
    <row r="27" customFormat="false" ht="23.85" hidden="false" customHeight="false" outlineLevel="0" collapsed="false">
      <c r="A27" s="2" t="s">
        <v>100</v>
      </c>
      <c r="B27" s="2" t="s">
        <v>101</v>
      </c>
      <c r="C27" s="3" t="n">
        <v>36.15</v>
      </c>
      <c r="D27" s="3" t="n">
        <v>-114.4</v>
      </c>
      <c r="E27" s="4" t="s">
        <v>19</v>
      </c>
      <c r="F27" s="5" t="n">
        <v>1229</v>
      </c>
      <c r="G27" s="6" t="s">
        <v>20</v>
      </c>
      <c r="H27" s="4" t="s">
        <v>19</v>
      </c>
      <c r="I27" s="7" t="s">
        <v>21</v>
      </c>
      <c r="J27" s="2" t="s">
        <v>22</v>
      </c>
      <c r="K27" s="2" t="s">
        <v>102</v>
      </c>
      <c r="L27" s="6" t="s">
        <v>24</v>
      </c>
      <c r="M27" s="8" t="s">
        <v>103</v>
      </c>
      <c r="N27" s="2" t="s">
        <v>22</v>
      </c>
      <c r="O27" s="15" t="s">
        <v>104</v>
      </c>
      <c r="P27" s="8" t="s">
        <v>105</v>
      </c>
      <c r="Q27" s="8" t="s">
        <v>106</v>
      </c>
    </row>
    <row r="28" customFormat="false" ht="23.85" hidden="false" customHeight="false" outlineLevel="0" collapsed="false">
      <c r="A28" s="2" t="s">
        <v>100</v>
      </c>
      <c r="B28" s="2" t="s">
        <v>107</v>
      </c>
      <c r="C28" s="3" t="n">
        <v>37</v>
      </c>
      <c r="D28" s="3" t="n">
        <v>-111.25</v>
      </c>
      <c r="E28" s="4" t="s">
        <v>19</v>
      </c>
      <c r="F28" s="5" t="n">
        <v>3700</v>
      </c>
      <c r="G28" s="6" t="s">
        <v>20</v>
      </c>
      <c r="H28" s="4" t="s">
        <v>19</v>
      </c>
      <c r="I28" s="7" t="s">
        <v>21</v>
      </c>
      <c r="J28" s="2" t="s">
        <v>22</v>
      </c>
      <c r="K28" s="2" t="s">
        <v>108</v>
      </c>
      <c r="L28" s="6" t="s">
        <v>24</v>
      </c>
      <c r="M28" s="8" t="s">
        <v>109</v>
      </c>
      <c r="N28" s="2" t="s">
        <v>22</v>
      </c>
      <c r="O28" s="6" t="s">
        <v>26</v>
      </c>
      <c r="P28" s="8" t="s">
        <v>27</v>
      </c>
      <c r="Q28" s="8" t="s">
        <v>106</v>
      </c>
    </row>
    <row r="29" customFormat="false" ht="23.85" hidden="false" customHeight="false" outlineLevel="0" collapsed="false">
      <c r="A29" s="2" t="s">
        <v>100</v>
      </c>
      <c r="B29" s="2" t="s">
        <v>110</v>
      </c>
      <c r="C29" s="3" t="n">
        <v>34.45</v>
      </c>
      <c r="D29" s="3" t="n">
        <v>-114.35</v>
      </c>
      <c r="E29" s="4" t="s">
        <v>19</v>
      </c>
      <c r="F29" s="5" t="n">
        <v>450</v>
      </c>
      <c r="G29" s="6" t="s">
        <v>20</v>
      </c>
      <c r="H29" s="4" t="s">
        <v>19</v>
      </c>
      <c r="I29" s="7" t="s">
        <v>21</v>
      </c>
      <c r="J29" s="2" t="s">
        <v>22</v>
      </c>
      <c r="K29" s="2" t="s">
        <v>111</v>
      </c>
      <c r="L29" s="6" t="s">
        <v>24</v>
      </c>
      <c r="M29" s="8" t="s">
        <v>112</v>
      </c>
      <c r="N29" s="2" t="s">
        <v>22</v>
      </c>
      <c r="O29" s="6" t="s">
        <v>26</v>
      </c>
      <c r="P29" s="8" t="s">
        <v>27</v>
      </c>
      <c r="Q29" s="8" t="s">
        <v>113</v>
      </c>
    </row>
    <row r="30" customFormat="false" ht="23.85" hidden="false" customHeight="false" outlineLevel="0" collapsed="false">
      <c r="A30" s="2" t="s">
        <v>100</v>
      </c>
      <c r="B30" s="2" t="s">
        <v>114</v>
      </c>
      <c r="C30" s="3" t="n">
        <v>35.2</v>
      </c>
      <c r="D30" s="3" t="n">
        <v>-114.6</v>
      </c>
      <c r="E30" s="4" t="s">
        <v>19</v>
      </c>
      <c r="F30" s="5" t="n">
        <v>647</v>
      </c>
      <c r="G30" s="6" t="s">
        <v>20</v>
      </c>
      <c r="H30" s="4" t="s">
        <v>19</v>
      </c>
      <c r="I30" s="7" t="s">
        <v>21</v>
      </c>
      <c r="J30" s="2" t="s">
        <v>22</v>
      </c>
      <c r="K30" s="2" t="s">
        <v>115</v>
      </c>
      <c r="L30" s="6" t="s">
        <v>24</v>
      </c>
      <c r="M30" s="8" t="s">
        <v>112</v>
      </c>
      <c r="N30" s="2" t="s">
        <v>22</v>
      </c>
      <c r="O30" s="6" t="s">
        <v>26</v>
      </c>
      <c r="P30" s="8" t="s">
        <v>27</v>
      </c>
      <c r="Q30" s="8" t="s">
        <v>106</v>
      </c>
    </row>
    <row r="31" customFormat="false" ht="23.85" hidden="false" customHeight="false" outlineLevel="0" collapsed="false">
      <c r="A31" s="2" t="s">
        <v>100</v>
      </c>
      <c r="B31" s="2" t="s">
        <v>116</v>
      </c>
      <c r="C31" s="3" t="n">
        <v>33.67</v>
      </c>
      <c r="D31" s="3" t="n">
        <v>-111.15</v>
      </c>
      <c r="E31" s="4" t="s">
        <v>19</v>
      </c>
      <c r="F31" s="5" t="n">
        <v>2151</v>
      </c>
      <c r="G31" s="6" t="s">
        <v>20</v>
      </c>
      <c r="H31" s="4" t="s">
        <v>19</v>
      </c>
      <c r="I31" s="7" t="s">
        <v>21</v>
      </c>
      <c r="J31" s="2" t="s">
        <v>22</v>
      </c>
      <c r="K31" s="2" t="s">
        <v>117</v>
      </c>
      <c r="L31" s="9" t="s">
        <v>36</v>
      </c>
      <c r="M31" s="8" t="s">
        <v>118</v>
      </c>
      <c r="N31" s="2" t="s">
        <v>22</v>
      </c>
      <c r="O31" s="6" t="s">
        <v>26</v>
      </c>
      <c r="P31" s="8" t="s">
        <v>27</v>
      </c>
      <c r="Q31" s="8" t="s">
        <v>119</v>
      </c>
    </row>
    <row r="32" customFormat="false" ht="23.85" hidden="false" customHeight="false" outlineLevel="0" collapsed="false">
      <c r="A32" s="2" t="s">
        <v>100</v>
      </c>
      <c r="B32" s="2" t="s">
        <v>120</v>
      </c>
      <c r="C32" s="3" t="n">
        <v>33.57</v>
      </c>
      <c r="D32" s="3" t="n">
        <v>-111.55</v>
      </c>
      <c r="E32" s="4" t="s">
        <v>19</v>
      </c>
      <c r="F32" s="5" t="n">
        <v>1912</v>
      </c>
      <c r="G32" s="6" t="s">
        <v>20</v>
      </c>
      <c r="H32" s="10" t="s">
        <v>49</v>
      </c>
      <c r="I32" s="7" t="s">
        <v>21</v>
      </c>
      <c r="J32" s="2" t="s">
        <v>22</v>
      </c>
      <c r="K32" s="2" t="s">
        <v>121</v>
      </c>
      <c r="L32" s="9" t="s">
        <v>36</v>
      </c>
      <c r="M32" s="8" t="s">
        <v>122</v>
      </c>
      <c r="N32" s="2" t="s">
        <v>22</v>
      </c>
      <c r="O32" s="6" t="s">
        <v>26</v>
      </c>
      <c r="P32" s="8" t="s">
        <v>27</v>
      </c>
      <c r="Q32" s="8" t="s">
        <v>123</v>
      </c>
    </row>
    <row r="33" customFormat="false" ht="23.85" hidden="false" customHeight="false" outlineLevel="0" collapsed="false">
      <c r="A33" s="2" t="s">
        <v>100</v>
      </c>
      <c r="B33" s="2" t="s">
        <v>124</v>
      </c>
      <c r="C33" s="3" t="n">
        <v>33.54</v>
      </c>
      <c r="D33" s="3" t="n">
        <v>-111.43</v>
      </c>
      <c r="E33" s="4" t="s">
        <v>19</v>
      </c>
      <c r="F33" s="5" t="n">
        <v>1660</v>
      </c>
      <c r="G33" s="6" t="s">
        <v>20</v>
      </c>
      <c r="H33" s="10" t="s">
        <v>49</v>
      </c>
      <c r="I33" s="7" t="s">
        <v>21</v>
      </c>
      <c r="J33" s="2" t="s">
        <v>22</v>
      </c>
      <c r="K33" s="2" t="s">
        <v>125</v>
      </c>
      <c r="L33" s="9" t="s">
        <v>36</v>
      </c>
      <c r="M33" s="8" t="s">
        <v>122</v>
      </c>
      <c r="N33" s="2" t="s">
        <v>22</v>
      </c>
      <c r="O33" s="6" t="s">
        <v>26</v>
      </c>
      <c r="P33" s="8" t="s">
        <v>27</v>
      </c>
      <c r="Q33" s="8" t="s">
        <v>123</v>
      </c>
    </row>
    <row r="34" customFormat="false" ht="23.85" hidden="false" customHeight="false" outlineLevel="0" collapsed="false">
      <c r="A34" s="2" t="s">
        <v>100</v>
      </c>
      <c r="B34" s="2" t="s">
        <v>126</v>
      </c>
      <c r="C34" s="3" t="n">
        <v>33.57</v>
      </c>
      <c r="D34" s="3" t="n">
        <v>-111.51</v>
      </c>
      <c r="E34" s="4" t="s">
        <v>19</v>
      </c>
      <c r="F34" s="5" t="n">
        <v>1529.5</v>
      </c>
      <c r="G34" s="6" t="s">
        <v>20</v>
      </c>
      <c r="H34" s="10" t="s">
        <v>49</v>
      </c>
      <c r="I34" s="7" t="s">
        <v>21</v>
      </c>
      <c r="J34" s="2" t="s">
        <v>22</v>
      </c>
      <c r="K34" s="2" t="s">
        <v>127</v>
      </c>
      <c r="L34" s="9" t="s">
        <v>36</v>
      </c>
      <c r="M34" s="8" t="s">
        <v>122</v>
      </c>
      <c r="N34" s="2" t="s">
        <v>22</v>
      </c>
      <c r="O34" s="6" t="s">
        <v>26</v>
      </c>
      <c r="P34" s="8" t="s">
        <v>27</v>
      </c>
      <c r="Q34" s="8" t="s">
        <v>123</v>
      </c>
    </row>
    <row r="35" customFormat="false" ht="23.85" hidden="false" customHeight="false" outlineLevel="0" collapsed="false">
      <c r="A35" s="2" t="s">
        <v>100</v>
      </c>
      <c r="B35" s="2" t="s">
        <v>128</v>
      </c>
      <c r="C35" s="3" t="n">
        <v>33.86</v>
      </c>
      <c r="D35" s="3" t="n">
        <v>-112.26</v>
      </c>
      <c r="E35" s="4" t="s">
        <v>19</v>
      </c>
      <c r="F35" s="5" t="n">
        <v>1702</v>
      </c>
      <c r="G35" s="6" t="s">
        <v>20</v>
      </c>
      <c r="H35" s="10" t="s">
        <v>49</v>
      </c>
      <c r="I35" s="7" t="s">
        <v>21</v>
      </c>
      <c r="J35" s="2" t="s">
        <v>22</v>
      </c>
      <c r="K35" s="2" t="s">
        <v>129</v>
      </c>
      <c r="L35" s="9" t="s">
        <v>36</v>
      </c>
      <c r="M35" s="8" t="s">
        <v>130</v>
      </c>
      <c r="N35" s="2" t="s">
        <v>41</v>
      </c>
      <c r="O35" s="9" t="s">
        <v>42</v>
      </c>
      <c r="P35" s="8" t="s">
        <v>43</v>
      </c>
      <c r="Q35" s="8" t="s">
        <v>131</v>
      </c>
    </row>
    <row r="36" customFormat="false" ht="23.85" hidden="false" customHeight="false" outlineLevel="0" collapsed="false">
      <c r="A36" s="2" t="s">
        <v>100</v>
      </c>
      <c r="B36" s="2" t="s">
        <v>132</v>
      </c>
      <c r="C36" s="3" t="n">
        <v>33.18</v>
      </c>
      <c r="D36" s="3" t="n">
        <v>-110.45</v>
      </c>
      <c r="E36" s="10" t="s">
        <v>49</v>
      </c>
      <c r="F36" s="5" t="n">
        <v>2500</v>
      </c>
      <c r="G36" s="6" t="s">
        <v>20</v>
      </c>
      <c r="H36" s="10" t="s">
        <v>49</v>
      </c>
      <c r="I36" s="7" t="s">
        <v>21</v>
      </c>
      <c r="J36" s="2" t="s">
        <v>22</v>
      </c>
      <c r="K36" s="2" t="s">
        <v>133</v>
      </c>
      <c r="L36" s="9" t="s">
        <v>36</v>
      </c>
      <c r="M36" s="8" t="s">
        <v>134</v>
      </c>
      <c r="N36" s="2" t="s">
        <v>22</v>
      </c>
      <c r="O36" s="6" t="s">
        <v>26</v>
      </c>
      <c r="P36" s="8" t="s">
        <v>27</v>
      </c>
      <c r="Q36" s="8" t="s">
        <v>135</v>
      </c>
    </row>
    <row r="37" customFormat="false" ht="23.85" hidden="false" customHeight="false" outlineLevel="0" collapsed="false">
      <c r="A37" s="2" t="s">
        <v>100</v>
      </c>
      <c r="B37" s="2" t="s">
        <v>136</v>
      </c>
      <c r="C37" s="3" t="n">
        <v>33.82</v>
      </c>
      <c r="D37" s="3" t="n">
        <v>-111.63</v>
      </c>
      <c r="E37" s="4" t="s">
        <v>19</v>
      </c>
      <c r="F37" s="5" t="n">
        <v>1798</v>
      </c>
      <c r="G37" s="6" t="s">
        <v>20</v>
      </c>
      <c r="H37" s="10" t="s">
        <v>49</v>
      </c>
      <c r="I37" s="7" t="s">
        <v>21</v>
      </c>
      <c r="J37" s="2" t="s">
        <v>22</v>
      </c>
      <c r="K37" s="2" t="s">
        <v>117</v>
      </c>
      <c r="L37" s="9" t="s">
        <v>36</v>
      </c>
      <c r="M37" s="8" t="s">
        <v>122</v>
      </c>
      <c r="N37" s="2" t="s">
        <v>22</v>
      </c>
      <c r="O37" s="6" t="s">
        <v>26</v>
      </c>
      <c r="P37" s="8" t="s">
        <v>27</v>
      </c>
      <c r="Q37" s="8" t="s">
        <v>137</v>
      </c>
    </row>
    <row r="38" customFormat="false" ht="23.85" hidden="false" customHeight="false" outlineLevel="0" collapsed="false">
      <c r="A38" s="2" t="s">
        <v>100</v>
      </c>
      <c r="B38" s="2" t="s">
        <v>138</v>
      </c>
      <c r="C38" s="3" t="n">
        <v>35.09</v>
      </c>
      <c r="D38" s="3" t="n">
        <v>-111.58</v>
      </c>
      <c r="E38" s="10" t="s">
        <v>49</v>
      </c>
      <c r="F38" s="5" t="n">
        <v>6900</v>
      </c>
      <c r="G38" s="6" t="s">
        <v>20</v>
      </c>
      <c r="H38" s="12" t="s">
        <v>68</v>
      </c>
      <c r="I38" s="7" t="s">
        <v>21</v>
      </c>
      <c r="J38" s="2" t="s">
        <v>22</v>
      </c>
      <c r="K38" s="2" t="s">
        <v>139</v>
      </c>
      <c r="L38" s="14" t="s">
        <v>72</v>
      </c>
      <c r="M38" s="8" t="s">
        <v>73</v>
      </c>
      <c r="N38" s="2" t="s">
        <v>70</v>
      </c>
      <c r="O38" s="9" t="s">
        <v>42</v>
      </c>
      <c r="P38" s="8" t="s">
        <v>43</v>
      </c>
      <c r="Q38" s="8" t="s">
        <v>140</v>
      </c>
    </row>
    <row r="39" customFormat="false" ht="23.85" hidden="false" customHeight="false" outlineLevel="0" collapsed="false">
      <c r="A39" s="2" t="s">
        <v>100</v>
      </c>
      <c r="B39" s="2" t="s">
        <v>141</v>
      </c>
      <c r="C39" s="3" t="n">
        <v>34.23</v>
      </c>
      <c r="D39" s="3" t="n">
        <v>-113.58</v>
      </c>
      <c r="E39" s="4" t="s">
        <v>19</v>
      </c>
      <c r="F39" s="5" t="n">
        <v>1235</v>
      </c>
      <c r="G39" s="6" t="s">
        <v>20</v>
      </c>
      <c r="H39" s="10" t="s">
        <v>49</v>
      </c>
      <c r="I39" s="7" t="s">
        <v>21</v>
      </c>
      <c r="J39" s="2" t="s">
        <v>22</v>
      </c>
      <c r="K39" s="2" t="s">
        <v>142</v>
      </c>
      <c r="L39" s="6" t="s">
        <v>24</v>
      </c>
      <c r="M39" s="8" t="s">
        <v>143</v>
      </c>
      <c r="N39" s="2" t="s">
        <v>22</v>
      </c>
      <c r="O39" s="6" t="s">
        <v>26</v>
      </c>
      <c r="P39" s="8" t="s">
        <v>27</v>
      </c>
      <c r="Q39" s="8" t="s">
        <v>144</v>
      </c>
    </row>
    <row r="40" customFormat="false" ht="23.85" hidden="false" customHeight="false" outlineLevel="0" collapsed="false">
      <c r="A40" s="2" t="s">
        <v>145</v>
      </c>
      <c r="B40" s="2" t="s">
        <v>146</v>
      </c>
      <c r="C40" s="3" t="n">
        <v>34.57</v>
      </c>
      <c r="D40" s="3" t="n">
        <v>-93.2</v>
      </c>
      <c r="E40" s="4" t="s">
        <v>19</v>
      </c>
      <c r="F40" s="5" t="n">
        <v>578</v>
      </c>
      <c r="G40" s="6" t="s">
        <v>20</v>
      </c>
      <c r="H40" s="4" t="s">
        <v>19</v>
      </c>
      <c r="I40" s="7" t="s">
        <v>21</v>
      </c>
      <c r="J40" s="2" t="s">
        <v>22</v>
      </c>
      <c r="K40" s="2" t="s">
        <v>147</v>
      </c>
      <c r="L40" s="6" t="s">
        <v>24</v>
      </c>
      <c r="M40" s="8" t="s">
        <v>148</v>
      </c>
      <c r="N40" s="2" t="s">
        <v>22</v>
      </c>
      <c r="O40" s="6" t="s">
        <v>26</v>
      </c>
      <c r="P40" s="8" t="s">
        <v>27</v>
      </c>
      <c r="Q40" s="8" t="s">
        <v>149</v>
      </c>
    </row>
    <row r="41" customFormat="false" ht="23.85" hidden="false" customHeight="false" outlineLevel="0" collapsed="false">
      <c r="A41" s="2" t="s">
        <v>145</v>
      </c>
      <c r="B41" s="2" t="s">
        <v>150</v>
      </c>
      <c r="C41" s="3" t="n">
        <v>36.45</v>
      </c>
      <c r="D41" s="3" t="n">
        <v>-92.55</v>
      </c>
      <c r="E41" s="4" t="s">
        <v>19</v>
      </c>
      <c r="F41" s="5" t="n">
        <v>654</v>
      </c>
      <c r="G41" s="6" t="s">
        <v>20</v>
      </c>
      <c r="H41" s="4" t="s">
        <v>19</v>
      </c>
      <c r="I41" s="7" t="s">
        <v>21</v>
      </c>
      <c r="J41" s="2" t="s">
        <v>22</v>
      </c>
      <c r="K41" s="2" t="s">
        <v>151</v>
      </c>
      <c r="L41" s="6" t="s">
        <v>24</v>
      </c>
      <c r="M41" s="8" t="s">
        <v>152</v>
      </c>
      <c r="N41" s="2" t="s">
        <v>22</v>
      </c>
      <c r="O41" s="6" t="s">
        <v>26</v>
      </c>
      <c r="P41" s="8" t="s">
        <v>27</v>
      </c>
      <c r="Q41" s="8" t="s">
        <v>153</v>
      </c>
    </row>
    <row r="42" customFormat="false" ht="23.85" hidden="false" customHeight="false" outlineLevel="0" collapsed="false">
      <c r="A42" s="2" t="s">
        <v>145</v>
      </c>
      <c r="B42" s="2" t="s">
        <v>154</v>
      </c>
      <c r="C42" s="3" t="n">
        <v>36.42</v>
      </c>
      <c r="D42" s="3" t="n">
        <v>-93.8</v>
      </c>
      <c r="E42" s="4" t="s">
        <v>19</v>
      </c>
      <c r="F42" s="5" t="n">
        <v>1120</v>
      </c>
      <c r="G42" s="6" t="s">
        <v>20</v>
      </c>
      <c r="H42" s="4" t="s">
        <v>19</v>
      </c>
      <c r="I42" s="7" t="s">
        <v>21</v>
      </c>
      <c r="J42" s="2" t="s">
        <v>22</v>
      </c>
      <c r="K42" s="2" t="s">
        <v>151</v>
      </c>
      <c r="L42" s="6" t="s">
        <v>24</v>
      </c>
      <c r="M42" s="8" t="s">
        <v>152</v>
      </c>
      <c r="N42" s="2" t="s">
        <v>22</v>
      </c>
      <c r="O42" s="6" t="s">
        <v>26</v>
      </c>
      <c r="P42" s="8" t="s">
        <v>27</v>
      </c>
      <c r="Q42" s="8" t="s">
        <v>153</v>
      </c>
    </row>
    <row r="43" customFormat="false" ht="23.85" hidden="false" customHeight="false" outlineLevel="0" collapsed="false">
      <c r="A43" s="2" t="s">
        <v>145</v>
      </c>
      <c r="B43" s="2" t="s">
        <v>155</v>
      </c>
      <c r="C43" s="3" t="n">
        <v>35.55</v>
      </c>
      <c r="D43" s="3" t="n">
        <v>-92.05</v>
      </c>
      <c r="E43" s="4" t="s">
        <v>19</v>
      </c>
      <c r="F43" s="5" t="n">
        <v>461.5</v>
      </c>
      <c r="G43" s="6" t="s">
        <v>20</v>
      </c>
      <c r="H43" s="4" t="s">
        <v>19</v>
      </c>
      <c r="I43" s="7" t="s">
        <v>21</v>
      </c>
      <c r="J43" s="2" t="s">
        <v>22</v>
      </c>
      <c r="K43" s="2" t="s">
        <v>151</v>
      </c>
      <c r="L43" s="6" t="s">
        <v>24</v>
      </c>
      <c r="M43" s="8" t="s">
        <v>152</v>
      </c>
      <c r="N43" s="2" t="s">
        <v>22</v>
      </c>
      <c r="O43" s="6" t="s">
        <v>26</v>
      </c>
      <c r="P43" s="8" t="s">
        <v>27</v>
      </c>
      <c r="Q43" s="8" t="s">
        <v>156</v>
      </c>
    </row>
    <row r="44" customFormat="false" ht="23.85" hidden="false" customHeight="false" outlineLevel="0" collapsed="false">
      <c r="A44" s="2" t="s">
        <v>145</v>
      </c>
      <c r="B44" s="2" t="s">
        <v>157</v>
      </c>
      <c r="C44" s="3" t="n">
        <v>34.45</v>
      </c>
      <c r="D44" s="3" t="n">
        <v>-93.12</v>
      </c>
      <c r="E44" s="4" t="s">
        <v>19</v>
      </c>
      <c r="F44" s="5" t="n">
        <v>300</v>
      </c>
      <c r="G44" s="6" t="s">
        <v>20</v>
      </c>
      <c r="H44" s="10" t="s">
        <v>49</v>
      </c>
      <c r="I44" s="7" t="s">
        <v>21</v>
      </c>
      <c r="J44" s="2" t="s">
        <v>22</v>
      </c>
      <c r="K44" s="2" t="s">
        <v>158</v>
      </c>
      <c r="L44" s="9" t="s">
        <v>36</v>
      </c>
      <c r="M44" s="8" t="s">
        <v>159</v>
      </c>
      <c r="N44" s="2" t="s">
        <v>41</v>
      </c>
      <c r="O44" s="9" t="s">
        <v>42</v>
      </c>
      <c r="P44" s="8" t="s">
        <v>43</v>
      </c>
      <c r="Q44" s="8" t="s">
        <v>160</v>
      </c>
    </row>
    <row r="45" customFormat="false" ht="23.85" hidden="false" customHeight="false" outlineLevel="0" collapsed="false">
      <c r="A45" s="2" t="s">
        <v>145</v>
      </c>
      <c r="B45" s="2" t="s">
        <v>161</v>
      </c>
      <c r="C45" s="3" t="n">
        <v>34.45</v>
      </c>
      <c r="D45" s="3" t="n">
        <v>-93</v>
      </c>
      <c r="E45" s="10" t="s">
        <v>49</v>
      </c>
      <c r="F45" s="5" t="n">
        <v>302</v>
      </c>
      <c r="G45" s="6" t="s">
        <v>20</v>
      </c>
      <c r="H45" s="10" t="s">
        <v>49</v>
      </c>
      <c r="I45" s="7" t="s">
        <v>21</v>
      </c>
      <c r="J45" s="2" t="s">
        <v>22</v>
      </c>
      <c r="K45" s="2" t="s">
        <v>162</v>
      </c>
      <c r="L45" s="9" t="s">
        <v>36</v>
      </c>
      <c r="M45" s="8" t="s">
        <v>159</v>
      </c>
      <c r="N45" s="2" t="s">
        <v>41</v>
      </c>
      <c r="O45" s="9" t="s">
        <v>42</v>
      </c>
      <c r="P45" s="8" t="s">
        <v>43</v>
      </c>
      <c r="Q45" s="8" t="s">
        <v>160</v>
      </c>
    </row>
    <row r="46" customFormat="false" ht="23.85" hidden="false" customHeight="false" outlineLevel="0" collapsed="false">
      <c r="A46" s="2" t="s">
        <v>145</v>
      </c>
      <c r="B46" s="2" t="s">
        <v>163</v>
      </c>
      <c r="C46" s="3" t="n">
        <v>34.22</v>
      </c>
      <c r="D46" s="3" t="n">
        <v>-93.15</v>
      </c>
      <c r="E46" s="4" t="s">
        <v>19</v>
      </c>
      <c r="F46" s="5" t="n">
        <v>408</v>
      </c>
      <c r="G46" s="6" t="s">
        <v>20</v>
      </c>
      <c r="H46" s="4" t="s">
        <v>19</v>
      </c>
      <c r="I46" s="7" t="s">
        <v>21</v>
      </c>
      <c r="J46" s="2" t="s">
        <v>22</v>
      </c>
      <c r="K46" s="2" t="s">
        <v>164</v>
      </c>
      <c r="L46" s="6" t="s">
        <v>24</v>
      </c>
      <c r="M46" s="8" t="s">
        <v>148</v>
      </c>
      <c r="N46" s="2" t="s">
        <v>22</v>
      </c>
      <c r="O46" s="6" t="s">
        <v>26</v>
      </c>
      <c r="P46" s="8" t="s">
        <v>27</v>
      </c>
      <c r="Q46" s="8" t="s">
        <v>165</v>
      </c>
    </row>
    <row r="47" customFormat="false" ht="23.85" hidden="false" customHeight="false" outlineLevel="0" collapsed="false">
      <c r="A47" s="2" t="s">
        <v>145</v>
      </c>
      <c r="B47" s="2" t="s">
        <v>166</v>
      </c>
      <c r="C47" s="3" t="n">
        <v>36.5</v>
      </c>
      <c r="D47" s="3" t="n">
        <v>-93.3</v>
      </c>
      <c r="E47" s="10" t="s">
        <v>49</v>
      </c>
      <c r="F47" s="5" t="n">
        <v>915</v>
      </c>
      <c r="G47" s="6" t="s">
        <v>20</v>
      </c>
      <c r="H47" s="4" t="s">
        <v>19</v>
      </c>
      <c r="I47" s="7" t="s">
        <v>21</v>
      </c>
      <c r="J47" s="2" t="s">
        <v>22</v>
      </c>
      <c r="K47" s="2" t="s">
        <v>151</v>
      </c>
      <c r="L47" s="6" t="s">
        <v>24</v>
      </c>
      <c r="M47" s="8" t="s">
        <v>152</v>
      </c>
      <c r="N47" s="2" t="s">
        <v>22</v>
      </c>
      <c r="O47" s="6" t="s">
        <v>26</v>
      </c>
      <c r="P47" s="8" t="s">
        <v>27</v>
      </c>
      <c r="Q47" s="8" t="s">
        <v>167</v>
      </c>
    </row>
    <row r="48" customFormat="false" ht="23.85" hidden="false" customHeight="false" outlineLevel="0" collapsed="false">
      <c r="A48" s="2" t="s">
        <v>145</v>
      </c>
      <c r="B48" s="2" t="s">
        <v>168</v>
      </c>
      <c r="C48" s="3" t="n">
        <v>36.35</v>
      </c>
      <c r="D48" s="3" t="n">
        <v>-92.24</v>
      </c>
      <c r="E48" s="4" t="s">
        <v>19</v>
      </c>
      <c r="F48" s="5" t="n">
        <v>553.75</v>
      </c>
      <c r="G48" s="6" t="s">
        <v>20</v>
      </c>
      <c r="H48" s="4" t="s">
        <v>19</v>
      </c>
      <c r="I48" s="7" t="s">
        <v>21</v>
      </c>
      <c r="J48" s="2" t="s">
        <v>22</v>
      </c>
      <c r="K48" s="2" t="s">
        <v>151</v>
      </c>
      <c r="L48" s="6" t="s">
        <v>24</v>
      </c>
      <c r="M48" s="8" t="s">
        <v>152</v>
      </c>
      <c r="N48" s="2" t="s">
        <v>22</v>
      </c>
      <c r="O48" s="6" t="s">
        <v>26</v>
      </c>
      <c r="P48" s="8" t="s">
        <v>27</v>
      </c>
      <c r="Q48" s="8" t="s">
        <v>169</v>
      </c>
    </row>
    <row r="49" customFormat="false" ht="23.85" hidden="false" customHeight="false" outlineLevel="0" collapsed="false">
      <c r="A49" s="2" t="s">
        <v>145</v>
      </c>
      <c r="B49" s="2" t="s">
        <v>170</v>
      </c>
      <c r="C49" s="3" t="n">
        <v>33.68</v>
      </c>
      <c r="D49" s="3" t="n">
        <v>-93.95</v>
      </c>
      <c r="E49" s="4" t="s">
        <v>19</v>
      </c>
      <c r="F49" s="5" t="n">
        <v>259.2</v>
      </c>
      <c r="G49" s="6" t="s">
        <v>20</v>
      </c>
      <c r="H49" s="10" t="s">
        <v>49</v>
      </c>
      <c r="I49" s="7" t="s">
        <v>21</v>
      </c>
      <c r="J49" s="2" t="s">
        <v>22</v>
      </c>
      <c r="K49" s="2" t="s">
        <v>151</v>
      </c>
      <c r="L49" s="6" t="s">
        <v>24</v>
      </c>
      <c r="M49" s="8" t="s">
        <v>152</v>
      </c>
      <c r="N49" s="2" t="s">
        <v>22</v>
      </c>
      <c r="O49" s="6" t="s">
        <v>26</v>
      </c>
      <c r="P49" s="8" t="s">
        <v>27</v>
      </c>
      <c r="Q49" s="8" t="s">
        <v>171</v>
      </c>
    </row>
    <row r="50" customFormat="false" ht="23.85" hidden="false" customHeight="false" outlineLevel="0" collapsed="false">
      <c r="A50" s="2" t="s">
        <v>145</v>
      </c>
      <c r="B50" s="2" t="s">
        <v>172</v>
      </c>
      <c r="C50" s="3" t="n">
        <v>35.35</v>
      </c>
      <c r="D50" s="3" t="n">
        <v>-93.2</v>
      </c>
      <c r="E50" s="4" t="s">
        <v>19</v>
      </c>
      <c r="F50" s="5" t="n">
        <v>338</v>
      </c>
      <c r="G50" s="6" t="s">
        <v>20</v>
      </c>
      <c r="H50" s="4" t="s">
        <v>19</v>
      </c>
      <c r="I50" s="7" t="s">
        <v>21</v>
      </c>
      <c r="J50" s="2" t="s">
        <v>22</v>
      </c>
      <c r="K50" s="2" t="s">
        <v>151</v>
      </c>
      <c r="L50" s="6" t="s">
        <v>24</v>
      </c>
      <c r="M50" s="8" t="s">
        <v>152</v>
      </c>
      <c r="N50" s="2" t="s">
        <v>22</v>
      </c>
      <c r="O50" s="6" t="s">
        <v>26</v>
      </c>
      <c r="P50" s="8" t="s">
        <v>27</v>
      </c>
      <c r="Q50" s="8" t="s">
        <v>173</v>
      </c>
    </row>
    <row r="51" customFormat="false" ht="23.85" hidden="false" customHeight="false" outlineLevel="0" collapsed="false">
      <c r="A51" s="2" t="s">
        <v>145</v>
      </c>
      <c r="B51" s="2" t="s">
        <v>174</v>
      </c>
      <c r="C51" s="3" t="n">
        <v>33.33</v>
      </c>
      <c r="D51" s="3" t="n">
        <v>-91.25</v>
      </c>
      <c r="E51" s="4" t="s">
        <v>19</v>
      </c>
      <c r="F51" s="5" t="n">
        <v>110</v>
      </c>
      <c r="G51" s="11" t="s">
        <v>67</v>
      </c>
      <c r="H51" s="10" t="s">
        <v>49</v>
      </c>
      <c r="I51" s="13" t="s">
        <v>69</v>
      </c>
      <c r="J51" s="2" t="s">
        <v>70</v>
      </c>
      <c r="K51" s="2" t="s">
        <v>175</v>
      </c>
      <c r="L51" s="9" t="s">
        <v>36</v>
      </c>
      <c r="M51" s="8" t="s">
        <v>176</v>
      </c>
      <c r="N51" s="2" t="s">
        <v>41</v>
      </c>
      <c r="O51" s="9" t="s">
        <v>42</v>
      </c>
      <c r="P51" s="8" t="s">
        <v>43</v>
      </c>
      <c r="Q51" s="8" t="s">
        <v>177</v>
      </c>
    </row>
    <row r="52" customFormat="false" ht="23.85" hidden="false" customHeight="false" outlineLevel="0" collapsed="false">
      <c r="A52" s="2" t="s">
        <v>145</v>
      </c>
      <c r="B52" s="2" t="s">
        <v>178</v>
      </c>
      <c r="C52" s="3" t="n">
        <v>34.95</v>
      </c>
      <c r="D52" s="3" t="n">
        <v>-93.17</v>
      </c>
      <c r="E52" s="10" t="s">
        <v>49</v>
      </c>
      <c r="F52" s="5" t="n">
        <v>342</v>
      </c>
      <c r="G52" s="6" t="s">
        <v>20</v>
      </c>
      <c r="H52" s="10" t="s">
        <v>49</v>
      </c>
      <c r="I52" s="7" t="s">
        <v>21</v>
      </c>
      <c r="J52" s="2" t="s">
        <v>22</v>
      </c>
      <c r="K52" s="2" t="s">
        <v>151</v>
      </c>
      <c r="L52" s="6" t="s">
        <v>24</v>
      </c>
      <c r="M52" s="8" t="s">
        <v>152</v>
      </c>
      <c r="N52" s="2" t="s">
        <v>22</v>
      </c>
      <c r="O52" s="6" t="s">
        <v>26</v>
      </c>
      <c r="P52" s="8" t="s">
        <v>27</v>
      </c>
      <c r="Q52" s="8" t="s">
        <v>179</v>
      </c>
    </row>
    <row r="53" customFormat="false" ht="23.85" hidden="false" customHeight="false" outlineLevel="0" collapsed="false">
      <c r="A53" s="2" t="s">
        <v>180</v>
      </c>
      <c r="B53" s="2" t="s">
        <v>181</v>
      </c>
      <c r="C53" s="3" t="n">
        <v>39.09</v>
      </c>
      <c r="D53" s="3" t="n">
        <v>-120.03</v>
      </c>
      <c r="E53" s="4" t="s">
        <v>19</v>
      </c>
      <c r="F53" s="5" t="n">
        <v>6229.1</v>
      </c>
      <c r="G53" s="6" t="s">
        <v>20</v>
      </c>
      <c r="H53" s="4" t="s">
        <v>19</v>
      </c>
      <c r="I53" s="13" t="s">
        <v>69</v>
      </c>
      <c r="J53" s="2" t="s">
        <v>70</v>
      </c>
      <c r="K53" s="2" t="s">
        <v>182</v>
      </c>
      <c r="L53" s="9" t="s">
        <v>36</v>
      </c>
      <c r="M53" s="8" t="s">
        <v>183</v>
      </c>
      <c r="N53" s="2" t="s">
        <v>22</v>
      </c>
      <c r="O53" s="15" t="s">
        <v>104</v>
      </c>
      <c r="P53" s="8" t="s">
        <v>105</v>
      </c>
      <c r="Q53" s="8" t="s">
        <v>184</v>
      </c>
    </row>
    <row r="54" customFormat="false" ht="23.85" hidden="false" customHeight="false" outlineLevel="0" collapsed="false">
      <c r="A54" s="2" t="s">
        <v>180</v>
      </c>
      <c r="B54" s="2" t="s">
        <v>185</v>
      </c>
      <c r="C54" s="3" t="n">
        <v>39.02</v>
      </c>
      <c r="D54" s="3" t="n">
        <v>-122.83</v>
      </c>
      <c r="E54" s="4" t="s">
        <v>19</v>
      </c>
      <c r="F54" s="5" t="n">
        <v>1326</v>
      </c>
      <c r="G54" s="11" t="s">
        <v>67</v>
      </c>
      <c r="H54" s="10" t="s">
        <v>49</v>
      </c>
      <c r="I54" s="13" t="s">
        <v>69</v>
      </c>
      <c r="J54" s="2" t="s">
        <v>70</v>
      </c>
      <c r="K54" s="2" t="s">
        <v>186</v>
      </c>
      <c r="L54" s="9" t="s">
        <v>36</v>
      </c>
      <c r="M54" s="8" t="s">
        <v>176</v>
      </c>
      <c r="N54" s="2" t="s">
        <v>22</v>
      </c>
      <c r="O54" s="6" t="s">
        <v>26</v>
      </c>
      <c r="P54" s="8" t="s">
        <v>27</v>
      </c>
      <c r="Q54" s="8" t="s">
        <v>187</v>
      </c>
    </row>
    <row r="55" customFormat="false" ht="23.85" hidden="false" customHeight="false" outlineLevel="0" collapsed="false">
      <c r="A55" s="2" t="s">
        <v>180</v>
      </c>
      <c r="B55" s="2" t="s">
        <v>188</v>
      </c>
      <c r="C55" s="3" t="n">
        <v>33.33</v>
      </c>
      <c r="D55" s="3" t="n">
        <v>-115.83</v>
      </c>
      <c r="E55" s="4" t="s">
        <v>19</v>
      </c>
      <c r="F55" s="5" t="n">
        <v>-236</v>
      </c>
      <c r="G55" s="11" t="s">
        <v>67</v>
      </c>
      <c r="H55" s="10" t="s">
        <v>49</v>
      </c>
      <c r="I55" s="13" t="s">
        <v>69</v>
      </c>
      <c r="J55" s="2" t="s">
        <v>70</v>
      </c>
      <c r="K55" s="2" t="s">
        <v>71</v>
      </c>
      <c r="L55" s="14" t="s">
        <v>72</v>
      </c>
      <c r="M55" s="8" t="s">
        <v>73</v>
      </c>
      <c r="N55" s="2" t="s">
        <v>70</v>
      </c>
      <c r="O55" s="9" t="s">
        <v>42</v>
      </c>
      <c r="P55" s="8" t="s">
        <v>43</v>
      </c>
      <c r="Q55" s="8" t="s">
        <v>189</v>
      </c>
    </row>
    <row r="56" customFormat="false" ht="23.85" hidden="false" customHeight="false" outlineLevel="0" collapsed="false">
      <c r="A56" s="2" t="s">
        <v>180</v>
      </c>
      <c r="B56" s="2" t="s">
        <v>190</v>
      </c>
      <c r="C56" s="3" t="n">
        <v>38</v>
      </c>
      <c r="D56" s="3" t="n">
        <v>-119.01</v>
      </c>
      <c r="E56" s="4" t="s">
        <v>19</v>
      </c>
      <c r="F56" s="5" t="n">
        <v>6383</v>
      </c>
      <c r="G56" s="11" t="s">
        <v>67</v>
      </c>
      <c r="H56" s="10" t="s">
        <v>49</v>
      </c>
      <c r="I56" s="13" t="s">
        <v>69</v>
      </c>
      <c r="J56" s="2" t="s">
        <v>70</v>
      </c>
      <c r="K56" s="2" t="s">
        <v>191</v>
      </c>
      <c r="L56" s="14" t="s">
        <v>72</v>
      </c>
      <c r="M56" s="8" t="s">
        <v>73</v>
      </c>
      <c r="N56" s="2" t="s">
        <v>70</v>
      </c>
      <c r="O56" s="15" t="s">
        <v>104</v>
      </c>
      <c r="P56" s="8" t="s">
        <v>105</v>
      </c>
      <c r="Q56" s="8" t="s">
        <v>192</v>
      </c>
    </row>
    <row r="57" customFormat="false" ht="23.85" hidden="false" customHeight="false" outlineLevel="0" collapsed="false">
      <c r="A57" s="2" t="s">
        <v>180</v>
      </c>
      <c r="B57" s="2" t="s">
        <v>193</v>
      </c>
      <c r="C57" s="3" t="n">
        <v>40.72</v>
      </c>
      <c r="D57" s="3" t="n">
        <v>-122.32</v>
      </c>
      <c r="E57" s="4" t="s">
        <v>19</v>
      </c>
      <c r="F57" s="5" t="n">
        <v>1067</v>
      </c>
      <c r="G57" s="6" t="s">
        <v>20</v>
      </c>
      <c r="H57" s="4" t="s">
        <v>19</v>
      </c>
      <c r="I57" s="7" t="s">
        <v>21</v>
      </c>
      <c r="J57" s="2" t="s">
        <v>22</v>
      </c>
      <c r="K57" s="2" t="s">
        <v>194</v>
      </c>
      <c r="L57" s="6" t="s">
        <v>24</v>
      </c>
      <c r="M57" s="8" t="s">
        <v>195</v>
      </c>
      <c r="N57" s="2" t="s">
        <v>22</v>
      </c>
      <c r="O57" s="6" t="s">
        <v>26</v>
      </c>
      <c r="P57" s="8" t="s">
        <v>27</v>
      </c>
      <c r="Q57" s="8" t="s">
        <v>196</v>
      </c>
    </row>
    <row r="58" customFormat="false" ht="23.85" hidden="false" customHeight="false" outlineLevel="0" collapsed="false">
      <c r="A58" s="2" t="s">
        <v>180</v>
      </c>
      <c r="B58" s="2" t="s">
        <v>197</v>
      </c>
      <c r="C58" s="3" t="n">
        <v>39.54</v>
      </c>
      <c r="D58" s="3" t="n">
        <v>-121.48</v>
      </c>
      <c r="E58" s="4" t="s">
        <v>19</v>
      </c>
      <c r="F58" s="5" t="n">
        <v>900</v>
      </c>
      <c r="G58" s="6" t="s">
        <v>20</v>
      </c>
      <c r="H58" s="4" t="s">
        <v>19</v>
      </c>
      <c r="I58" s="7" t="s">
        <v>21</v>
      </c>
      <c r="J58" s="2" t="s">
        <v>22</v>
      </c>
      <c r="K58" s="2" t="s">
        <v>198</v>
      </c>
      <c r="L58" s="6" t="s">
        <v>24</v>
      </c>
      <c r="M58" s="8" t="s">
        <v>199</v>
      </c>
      <c r="N58" s="2" t="s">
        <v>22</v>
      </c>
      <c r="O58" s="6" t="s">
        <v>26</v>
      </c>
      <c r="P58" s="8" t="s">
        <v>27</v>
      </c>
      <c r="Q58" s="8" t="s">
        <v>200</v>
      </c>
    </row>
    <row r="59" customFormat="false" ht="23.85" hidden="false" customHeight="false" outlineLevel="0" collapsed="false">
      <c r="A59" s="2" t="s">
        <v>180</v>
      </c>
      <c r="B59" s="2" t="s">
        <v>201</v>
      </c>
      <c r="C59" s="3" t="n">
        <v>38.59</v>
      </c>
      <c r="D59" s="3" t="n">
        <v>-122.23</v>
      </c>
      <c r="E59" s="4" t="s">
        <v>19</v>
      </c>
      <c r="F59" s="5" t="n">
        <v>440</v>
      </c>
      <c r="G59" s="6" t="s">
        <v>20</v>
      </c>
      <c r="H59" s="4" t="s">
        <v>19</v>
      </c>
      <c r="I59" s="7" t="s">
        <v>21</v>
      </c>
      <c r="J59" s="2" t="s">
        <v>22</v>
      </c>
      <c r="K59" s="2" t="s">
        <v>202</v>
      </c>
      <c r="L59" s="6" t="s">
        <v>24</v>
      </c>
      <c r="M59" s="8" t="s">
        <v>203</v>
      </c>
      <c r="N59" s="2" t="s">
        <v>22</v>
      </c>
      <c r="O59" s="6" t="s">
        <v>26</v>
      </c>
      <c r="P59" s="8" t="s">
        <v>27</v>
      </c>
      <c r="Q59" s="8" t="s">
        <v>204</v>
      </c>
    </row>
    <row r="60" customFormat="false" ht="23.85" hidden="false" customHeight="false" outlineLevel="0" collapsed="false">
      <c r="A60" s="2" t="s">
        <v>180</v>
      </c>
      <c r="B60" s="2" t="s">
        <v>205</v>
      </c>
      <c r="C60" s="3" t="n">
        <v>38.71</v>
      </c>
      <c r="D60" s="3" t="n">
        <v>-121.15</v>
      </c>
      <c r="E60" s="4" t="s">
        <v>19</v>
      </c>
      <c r="F60" s="5" t="n">
        <v>466</v>
      </c>
      <c r="G60" s="6" t="s">
        <v>20</v>
      </c>
      <c r="H60" s="4" t="s">
        <v>19</v>
      </c>
      <c r="I60" s="7" t="s">
        <v>21</v>
      </c>
      <c r="J60" s="2" t="s">
        <v>22</v>
      </c>
      <c r="K60" s="2" t="s">
        <v>194</v>
      </c>
      <c r="L60" s="6" t="s">
        <v>24</v>
      </c>
      <c r="M60" s="8" t="s">
        <v>206</v>
      </c>
      <c r="N60" s="2" t="s">
        <v>22</v>
      </c>
      <c r="O60" s="6" t="s">
        <v>26</v>
      </c>
      <c r="P60" s="8" t="s">
        <v>27</v>
      </c>
      <c r="Q60" s="8" t="s">
        <v>207</v>
      </c>
    </row>
    <row r="61" customFormat="false" ht="23.85" hidden="false" customHeight="false" outlineLevel="0" collapsed="false">
      <c r="A61" s="2" t="s">
        <v>180</v>
      </c>
      <c r="B61" s="2" t="s">
        <v>208</v>
      </c>
      <c r="C61" s="3" t="n">
        <v>40.8</v>
      </c>
      <c r="D61" s="3" t="n">
        <v>-122.76</v>
      </c>
      <c r="E61" s="4" t="s">
        <v>19</v>
      </c>
      <c r="F61" s="5" t="n">
        <v>2370</v>
      </c>
      <c r="G61" s="6" t="s">
        <v>20</v>
      </c>
      <c r="H61" s="4" t="s">
        <v>19</v>
      </c>
      <c r="I61" s="7" t="s">
        <v>21</v>
      </c>
      <c r="J61" s="2" t="s">
        <v>22</v>
      </c>
      <c r="K61" s="2" t="s">
        <v>194</v>
      </c>
      <c r="L61" s="6" t="s">
        <v>24</v>
      </c>
      <c r="M61" s="8" t="s">
        <v>206</v>
      </c>
      <c r="N61" s="2" t="s">
        <v>22</v>
      </c>
      <c r="O61" s="6" t="s">
        <v>26</v>
      </c>
      <c r="P61" s="8" t="s">
        <v>27</v>
      </c>
      <c r="Q61" s="8" t="s">
        <v>209</v>
      </c>
    </row>
    <row r="62" customFormat="false" ht="23.85" hidden="false" customHeight="false" outlineLevel="0" collapsed="false">
      <c r="A62" s="2" t="s">
        <v>180</v>
      </c>
      <c r="B62" s="2" t="s">
        <v>210</v>
      </c>
      <c r="C62" s="3" t="n">
        <v>40.26</v>
      </c>
      <c r="D62" s="3" t="n">
        <v>-121.15</v>
      </c>
      <c r="E62" s="4" t="s">
        <v>19</v>
      </c>
      <c r="F62" s="5" t="n">
        <v>4494</v>
      </c>
      <c r="G62" s="6" t="s">
        <v>20</v>
      </c>
      <c r="H62" s="10" t="s">
        <v>49</v>
      </c>
      <c r="I62" s="7" t="s">
        <v>21</v>
      </c>
      <c r="J62" s="2" t="s">
        <v>22</v>
      </c>
      <c r="K62" s="2" t="s">
        <v>211</v>
      </c>
      <c r="L62" s="6" t="s">
        <v>24</v>
      </c>
      <c r="M62" s="8" t="s">
        <v>212</v>
      </c>
      <c r="N62" s="2" t="s">
        <v>41</v>
      </c>
      <c r="O62" s="9" t="s">
        <v>42</v>
      </c>
      <c r="P62" s="8" t="s">
        <v>43</v>
      </c>
      <c r="Q62" s="8" t="s">
        <v>213</v>
      </c>
    </row>
    <row r="63" customFormat="false" ht="23.85" hidden="false" customHeight="false" outlineLevel="0" collapsed="false">
      <c r="A63" s="2" t="s">
        <v>180</v>
      </c>
      <c r="B63" s="2" t="s">
        <v>110</v>
      </c>
      <c r="C63" s="3" t="n">
        <v>34.45</v>
      </c>
      <c r="D63" s="3" t="n">
        <v>-114.36</v>
      </c>
      <c r="E63" s="10" t="s">
        <v>49</v>
      </c>
      <c r="F63" s="5" t="n">
        <v>450</v>
      </c>
      <c r="G63" s="6" t="s">
        <v>20</v>
      </c>
      <c r="H63" s="4" t="s">
        <v>19</v>
      </c>
      <c r="I63" s="7" t="s">
        <v>21</v>
      </c>
      <c r="J63" s="2" t="s">
        <v>22</v>
      </c>
      <c r="K63" s="2" t="s">
        <v>111</v>
      </c>
      <c r="L63" s="6" t="s">
        <v>24</v>
      </c>
      <c r="M63" s="8" t="s">
        <v>112</v>
      </c>
      <c r="N63" s="2" t="s">
        <v>22</v>
      </c>
      <c r="O63" s="6" t="s">
        <v>26</v>
      </c>
      <c r="P63" s="8" t="s">
        <v>27</v>
      </c>
      <c r="Q63" s="8" t="s">
        <v>214</v>
      </c>
    </row>
    <row r="64" customFormat="false" ht="23.85" hidden="false" customHeight="false" outlineLevel="0" collapsed="false">
      <c r="A64" s="2" t="s">
        <v>180</v>
      </c>
      <c r="B64" s="2" t="s">
        <v>215</v>
      </c>
      <c r="C64" s="3" t="n">
        <v>37.7</v>
      </c>
      <c r="D64" s="3" t="n">
        <v>-120.4</v>
      </c>
      <c r="E64" s="4" t="s">
        <v>19</v>
      </c>
      <c r="F64" s="5" t="n">
        <v>830</v>
      </c>
      <c r="G64" s="6" t="s">
        <v>20</v>
      </c>
      <c r="H64" s="4" t="s">
        <v>19</v>
      </c>
      <c r="I64" s="7" t="s">
        <v>21</v>
      </c>
      <c r="J64" s="2" t="s">
        <v>22</v>
      </c>
      <c r="K64" s="2" t="s">
        <v>216</v>
      </c>
      <c r="L64" s="6" t="s">
        <v>24</v>
      </c>
      <c r="M64" s="8" t="s">
        <v>217</v>
      </c>
      <c r="N64" s="2" t="s">
        <v>41</v>
      </c>
      <c r="O64" s="9" t="s">
        <v>42</v>
      </c>
      <c r="P64" s="8" t="s">
        <v>43</v>
      </c>
      <c r="Q64" s="8" t="s">
        <v>218</v>
      </c>
    </row>
    <row r="65" customFormat="false" ht="23.85" hidden="false" customHeight="false" outlineLevel="0" collapsed="false">
      <c r="A65" s="2" t="s">
        <v>180</v>
      </c>
      <c r="B65" s="2" t="s">
        <v>219</v>
      </c>
      <c r="C65" s="3" t="n">
        <v>35.65</v>
      </c>
      <c r="D65" s="3" t="n">
        <v>-118.48</v>
      </c>
      <c r="E65" s="4" t="s">
        <v>19</v>
      </c>
      <c r="F65" s="5" t="n">
        <v>2609.9</v>
      </c>
      <c r="G65" s="6" t="s">
        <v>20</v>
      </c>
      <c r="H65" s="10" t="s">
        <v>49</v>
      </c>
      <c r="I65" s="7" t="s">
        <v>21</v>
      </c>
      <c r="J65" s="2" t="s">
        <v>22</v>
      </c>
      <c r="K65" s="2" t="s">
        <v>220</v>
      </c>
      <c r="L65" s="6" t="s">
        <v>24</v>
      </c>
      <c r="M65" s="8" t="s">
        <v>221</v>
      </c>
      <c r="N65" s="2" t="s">
        <v>22</v>
      </c>
      <c r="O65" s="6" t="s">
        <v>26</v>
      </c>
      <c r="P65" s="8" t="s">
        <v>27</v>
      </c>
      <c r="Q65" s="8" t="s">
        <v>222</v>
      </c>
    </row>
    <row r="66" customFormat="false" ht="23.85" hidden="false" customHeight="false" outlineLevel="0" collapsed="false">
      <c r="A66" s="2" t="s">
        <v>180</v>
      </c>
      <c r="B66" s="2" t="s">
        <v>223</v>
      </c>
      <c r="C66" s="3" t="n">
        <v>40.65</v>
      </c>
      <c r="D66" s="3" t="n">
        <v>-120.73</v>
      </c>
      <c r="E66" s="4" t="s">
        <v>19</v>
      </c>
      <c r="F66" s="5" t="n">
        <v>5100</v>
      </c>
      <c r="G66" s="11" t="s">
        <v>67</v>
      </c>
      <c r="H66" s="10" t="s">
        <v>49</v>
      </c>
      <c r="I66" s="13" t="s">
        <v>69</v>
      </c>
      <c r="J66" s="2" t="s">
        <v>70</v>
      </c>
      <c r="K66" s="2" t="s">
        <v>71</v>
      </c>
      <c r="L66" s="14" t="s">
        <v>72</v>
      </c>
      <c r="M66" s="8" t="s">
        <v>73</v>
      </c>
      <c r="N66" s="2" t="s">
        <v>70</v>
      </c>
      <c r="O66" s="9" t="s">
        <v>42</v>
      </c>
      <c r="P66" s="8" t="s">
        <v>43</v>
      </c>
      <c r="Q66" s="8" t="s">
        <v>224</v>
      </c>
    </row>
    <row r="67" customFormat="false" ht="23.85" hidden="false" customHeight="false" outlineLevel="0" collapsed="false">
      <c r="A67" s="2" t="s">
        <v>225</v>
      </c>
      <c r="B67" s="2" t="s">
        <v>226</v>
      </c>
      <c r="C67" s="3" t="n">
        <v>38.4586</v>
      </c>
      <c r="D67" s="3" t="n">
        <v>-107.33</v>
      </c>
      <c r="E67" s="4" t="s">
        <v>19</v>
      </c>
      <c r="F67" s="5" t="n">
        <v>7519.4</v>
      </c>
      <c r="G67" s="6" t="s">
        <v>20</v>
      </c>
      <c r="H67" s="4" t="s">
        <v>19</v>
      </c>
      <c r="I67" s="7" t="s">
        <v>21</v>
      </c>
      <c r="J67" s="2" t="s">
        <v>22</v>
      </c>
      <c r="K67" s="2" t="s">
        <v>227</v>
      </c>
      <c r="L67" s="6" t="s">
        <v>24</v>
      </c>
      <c r="M67" s="8" t="s">
        <v>228</v>
      </c>
      <c r="N67" s="2" t="s">
        <v>22</v>
      </c>
      <c r="O67" s="6" t="s">
        <v>26</v>
      </c>
      <c r="P67" s="8" t="s">
        <v>27</v>
      </c>
      <c r="Q67" s="8" t="s">
        <v>229</v>
      </c>
    </row>
    <row r="68" customFormat="false" ht="23.85" hidden="false" customHeight="false" outlineLevel="0" collapsed="false">
      <c r="A68" s="2" t="s">
        <v>225</v>
      </c>
      <c r="B68" s="2" t="s">
        <v>230</v>
      </c>
      <c r="C68" s="3" t="n">
        <v>40.2517</v>
      </c>
      <c r="D68" s="3" t="n">
        <v>-105.828</v>
      </c>
      <c r="E68" s="4" t="s">
        <v>19</v>
      </c>
      <c r="F68" s="5" t="n">
        <v>8367</v>
      </c>
      <c r="G68" s="11" t="s">
        <v>67</v>
      </c>
      <c r="H68" s="10" t="s">
        <v>49</v>
      </c>
      <c r="I68" s="13" t="s">
        <v>69</v>
      </c>
      <c r="J68" s="2" t="s">
        <v>70</v>
      </c>
      <c r="K68" s="2" t="s">
        <v>231</v>
      </c>
      <c r="L68" s="9" t="s">
        <v>36</v>
      </c>
      <c r="M68" s="8" t="s">
        <v>232</v>
      </c>
      <c r="N68" s="2" t="s">
        <v>22</v>
      </c>
      <c r="O68" s="6" t="s">
        <v>26</v>
      </c>
      <c r="P68" s="8" t="s">
        <v>27</v>
      </c>
      <c r="Q68" s="8" t="s">
        <v>233</v>
      </c>
    </row>
    <row r="69" customFormat="false" ht="23.85" hidden="false" customHeight="false" outlineLevel="0" collapsed="false">
      <c r="A69" s="2" t="s">
        <v>225</v>
      </c>
      <c r="B69" s="2" t="s">
        <v>234</v>
      </c>
      <c r="C69" s="3" t="n">
        <v>39.61</v>
      </c>
      <c r="D69" s="3" t="n">
        <v>-106.06</v>
      </c>
      <c r="E69" s="4" t="s">
        <v>19</v>
      </c>
      <c r="F69" s="5" t="n">
        <v>9017</v>
      </c>
      <c r="G69" s="6" t="s">
        <v>20</v>
      </c>
      <c r="H69" s="4" t="s">
        <v>19</v>
      </c>
      <c r="I69" s="7" t="s">
        <v>21</v>
      </c>
      <c r="J69" s="2" t="s">
        <v>22</v>
      </c>
      <c r="K69" s="2" t="s">
        <v>235</v>
      </c>
      <c r="L69" s="9" t="s">
        <v>36</v>
      </c>
      <c r="M69" s="8" t="s">
        <v>236</v>
      </c>
      <c r="N69" s="2" t="s">
        <v>22</v>
      </c>
      <c r="O69" s="6" t="s">
        <v>26</v>
      </c>
      <c r="P69" s="8" t="s">
        <v>27</v>
      </c>
      <c r="Q69" s="8" t="s">
        <v>237</v>
      </c>
    </row>
    <row r="70" customFormat="false" ht="23.85" hidden="false" customHeight="false" outlineLevel="0" collapsed="false">
      <c r="A70" s="2" t="s">
        <v>225</v>
      </c>
      <c r="B70" s="2" t="s">
        <v>238</v>
      </c>
      <c r="C70" s="3" t="n">
        <v>40.545</v>
      </c>
      <c r="D70" s="3" t="n">
        <v>-105.145</v>
      </c>
      <c r="E70" s="4" t="s">
        <v>19</v>
      </c>
      <c r="F70" s="5" t="n">
        <v>5430</v>
      </c>
      <c r="G70" s="6" t="s">
        <v>20</v>
      </c>
      <c r="H70" s="10" t="s">
        <v>49</v>
      </c>
      <c r="I70" s="7" t="s">
        <v>21</v>
      </c>
      <c r="J70" s="2" t="s">
        <v>22</v>
      </c>
      <c r="K70" s="2" t="s">
        <v>231</v>
      </c>
      <c r="L70" s="6" t="s">
        <v>24</v>
      </c>
      <c r="M70" s="8" t="s">
        <v>239</v>
      </c>
      <c r="N70" s="2" t="s">
        <v>41</v>
      </c>
      <c r="O70" s="9" t="s">
        <v>42</v>
      </c>
      <c r="P70" s="8" t="s">
        <v>43</v>
      </c>
      <c r="Q70" s="8" t="s">
        <v>240</v>
      </c>
    </row>
    <row r="71" customFormat="false" ht="23.85" hidden="false" customHeight="false" outlineLevel="0" collapsed="false">
      <c r="A71" s="2" t="s">
        <v>225</v>
      </c>
      <c r="B71" s="2" t="s">
        <v>241</v>
      </c>
      <c r="C71" s="3" t="n">
        <v>40.145</v>
      </c>
      <c r="D71" s="3" t="n">
        <v>-105.84</v>
      </c>
      <c r="E71" s="4" t="s">
        <v>19</v>
      </c>
      <c r="F71" s="5" t="n">
        <v>8280</v>
      </c>
      <c r="G71" s="6" t="s">
        <v>20</v>
      </c>
      <c r="H71" s="10" t="s">
        <v>49</v>
      </c>
      <c r="I71" s="7" t="s">
        <v>21</v>
      </c>
      <c r="J71" s="2" t="s">
        <v>22</v>
      </c>
      <c r="K71" s="2" t="s">
        <v>231</v>
      </c>
      <c r="L71" s="6" t="s">
        <v>24</v>
      </c>
      <c r="M71" s="8" t="s">
        <v>242</v>
      </c>
      <c r="N71" s="2" t="s">
        <v>22</v>
      </c>
      <c r="O71" s="6" t="s">
        <v>26</v>
      </c>
      <c r="P71" s="8" t="s">
        <v>27</v>
      </c>
      <c r="Q71" s="8" t="s">
        <v>243</v>
      </c>
    </row>
    <row r="72" customFormat="false" ht="23.85" hidden="false" customHeight="false" outlineLevel="0" collapsed="false">
      <c r="A72" s="2" t="s">
        <v>225</v>
      </c>
      <c r="B72" s="2" t="s">
        <v>244</v>
      </c>
      <c r="C72" s="3" t="n">
        <v>39.545</v>
      </c>
      <c r="D72" s="3" t="n">
        <v>-105.065</v>
      </c>
      <c r="E72" s="4" t="s">
        <v>19</v>
      </c>
      <c r="F72" s="5" t="n">
        <v>5432</v>
      </c>
      <c r="G72" s="6" t="s">
        <v>20</v>
      </c>
      <c r="H72" s="10" t="s">
        <v>49</v>
      </c>
      <c r="I72" s="7" t="s">
        <v>21</v>
      </c>
      <c r="J72" s="2" t="s">
        <v>22</v>
      </c>
      <c r="K72" s="2" t="s">
        <v>245</v>
      </c>
      <c r="L72" s="6" t="s">
        <v>24</v>
      </c>
      <c r="M72" s="8" t="s">
        <v>246</v>
      </c>
      <c r="N72" s="2" t="s">
        <v>22</v>
      </c>
      <c r="O72" s="6" t="s">
        <v>26</v>
      </c>
      <c r="P72" s="8" t="s">
        <v>27</v>
      </c>
      <c r="Q72" s="8" t="s">
        <v>247</v>
      </c>
    </row>
    <row r="73" customFormat="false" ht="23.85" hidden="false" customHeight="false" outlineLevel="0" collapsed="false">
      <c r="A73" s="2" t="s">
        <v>225</v>
      </c>
      <c r="B73" s="2" t="s">
        <v>248</v>
      </c>
      <c r="C73" s="3" t="n">
        <v>39.636</v>
      </c>
      <c r="D73" s="3" t="n">
        <v>-104.85</v>
      </c>
      <c r="E73" s="4" t="s">
        <v>19</v>
      </c>
      <c r="F73" s="5" t="n">
        <v>5550</v>
      </c>
      <c r="G73" s="6" t="s">
        <v>20</v>
      </c>
      <c r="H73" s="10" t="s">
        <v>49</v>
      </c>
      <c r="I73" s="7" t="s">
        <v>21</v>
      </c>
      <c r="J73" s="2" t="s">
        <v>22</v>
      </c>
      <c r="K73" s="2" t="s">
        <v>245</v>
      </c>
      <c r="L73" s="6" t="s">
        <v>24</v>
      </c>
      <c r="M73" s="8" t="s">
        <v>246</v>
      </c>
      <c r="N73" s="2" t="s">
        <v>22</v>
      </c>
      <c r="O73" s="6" t="s">
        <v>26</v>
      </c>
      <c r="P73" s="8" t="s">
        <v>27</v>
      </c>
      <c r="Q73" s="8" t="s">
        <v>247</v>
      </c>
    </row>
    <row r="74" customFormat="false" ht="23.85" hidden="false" customHeight="false" outlineLevel="0" collapsed="false">
      <c r="A74" s="2" t="s">
        <v>225</v>
      </c>
      <c r="B74" s="2" t="s">
        <v>249</v>
      </c>
      <c r="C74" s="3" t="n">
        <v>38.07</v>
      </c>
      <c r="D74" s="3" t="n">
        <v>-102.93</v>
      </c>
      <c r="E74" s="4" t="s">
        <v>19</v>
      </c>
      <c r="F74" s="5" t="n">
        <v>3851</v>
      </c>
      <c r="G74" s="6" t="s">
        <v>20</v>
      </c>
      <c r="H74" s="10" t="s">
        <v>49</v>
      </c>
      <c r="I74" s="7" t="s">
        <v>21</v>
      </c>
      <c r="J74" s="2" t="s">
        <v>22</v>
      </c>
      <c r="K74" s="2" t="s">
        <v>250</v>
      </c>
      <c r="L74" s="6" t="s">
        <v>24</v>
      </c>
      <c r="M74" s="8" t="s">
        <v>251</v>
      </c>
      <c r="N74" s="2" t="s">
        <v>22</v>
      </c>
      <c r="O74" s="6" t="s">
        <v>26</v>
      </c>
      <c r="P74" s="8" t="s">
        <v>27</v>
      </c>
      <c r="Q74" s="8" t="s">
        <v>252</v>
      </c>
    </row>
    <row r="75" customFormat="false" ht="23.85" hidden="false" customHeight="false" outlineLevel="0" collapsed="false">
      <c r="A75" s="2" t="s">
        <v>225</v>
      </c>
      <c r="B75" s="2" t="s">
        <v>253</v>
      </c>
      <c r="C75" s="3" t="n">
        <v>37.02</v>
      </c>
      <c r="D75" s="3" t="n">
        <v>-107.4</v>
      </c>
      <c r="E75" s="10" t="s">
        <v>49</v>
      </c>
      <c r="F75" s="5" t="n">
        <v>6085</v>
      </c>
      <c r="G75" s="6" t="s">
        <v>20</v>
      </c>
      <c r="H75" s="4" t="s">
        <v>19</v>
      </c>
      <c r="I75" s="7" t="s">
        <v>21</v>
      </c>
      <c r="J75" s="2" t="s">
        <v>22</v>
      </c>
      <c r="K75" s="2" t="s">
        <v>254</v>
      </c>
      <c r="L75" s="6" t="s">
        <v>24</v>
      </c>
      <c r="M75" s="8" t="s">
        <v>228</v>
      </c>
      <c r="N75" s="2" t="s">
        <v>22</v>
      </c>
      <c r="O75" s="6" t="s">
        <v>26</v>
      </c>
      <c r="P75" s="8" t="s">
        <v>27</v>
      </c>
      <c r="Q75" s="8" t="s">
        <v>255</v>
      </c>
    </row>
    <row r="76" customFormat="false" ht="23.85" hidden="false" customHeight="false" outlineLevel="0" collapsed="false">
      <c r="A76" s="2" t="s">
        <v>225</v>
      </c>
      <c r="B76" s="2" t="s">
        <v>256</v>
      </c>
      <c r="C76" s="3" t="n">
        <v>39.362</v>
      </c>
      <c r="D76" s="3" t="n">
        <v>-106.83</v>
      </c>
      <c r="E76" s="4" t="s">
        <v>19</v>
      </c>
      <c r="F76" s="5" t="n">
        <v>7766</v>
      </c>
      <c r="G76" s="6" t="s">
        <v>20</v>
      </c>
      <c r="H76" s="10" t="s">
        <v>49</v>
      </c>
      <c r="I76" s="7" t="s">
        <v>21</v>
      </c>
      <c r="J76" s="2" t="s">
        <v>22</v>
      </c>
      <c r="K76" s="2" t="s">
        <v>257</v>
      </c>
      <c r="L76" s="6" t="s">
        <v>24</v>
      </c>
      <c r="M76" s="8" t="s">
        <v>242</v>
      </c>
      <c r="N76" s="2" t="s">
        <v>22</v>
      </c>
      <c r="O76" s="6" t="s">
        <v>26</v>
      </c>
      <c r="P76" s="8" t="s">
        <v>27</v>
      </c>
      <c r="Q76" s="8" t="s">
        <v>258</v>
      </c>
    </row>
    <row r="77" customFormat="false" ht="23.85" hidden="false" customHeight="false" outlineLevel="0" collapsed="false">
      <c r="A77" s="2" t="s">
        <v>225</v>
      </c>
      <c r="B77" s="2" t="s">
        <v>259</v>
      </c>
      <c r="C77" s="3" t="n">
        <v>38.92</v>
      </c>
      <c r="D77" s="3" t="n">
        <v>-105.465</v>
      </c>
      <c r="E77" s="4" t="s">
        <v>19</v>
      </c>
      <c r="F77" s="5" t="n">
        <v>8564</v>
      </c>
      <c r="G77" s="6" t="s">
        <v>20</v>
      </c>
      <c r="H77" s="10" t="s">
        <v>49</v>
      </c>
      <c r="I77" s="7" t="s">
        <v>21</v>
      </c>
      <c r="J77" s="2" t="s">
        <v>22</v>
      </c>
      <c r="K77" s="2" t="s">
        <v>235</v>
      </c>
      <c r="L77" s="9" t="s">
        <v>36</v>
      </c>
      <c r="M77" s="8" t="s">
        <v>236</v>
      </c>
      <c r="N77" s="2" t="s">
        <v>22</v>
      </c>
      <c r="O77" s="6" t="s">
        <v>26</v>
      </c>
      <c r="P77" s="8" t="s">
        <v>27</v>
      </c>
      <c r="Q77" s="8" t="s">
        <v>260</v>
      </c>
    </row>
    <row r="78" customFormat="false" ht="23.85" hidden="false" customHeight="false" outlineLevel="0" collapsed="false">
      <c r="A78" s="2" t="s">
        <v>225</v>
      </c>
      <c r="B78" s="2" t="s">
        <v>261</v>
      </c>
      <c r="C78" s="3" t="n">
        <v>38.26</v>
      </c>
      <c r="D78" s="3" t="n">
        <v>-104.735</v>
      </c>
      <c r="E78" s="4" t="s">
        <v>19</v>
      </c>
      <c r="F78" s="5" t="n">
        <v>4880</v>
      </c>
      <c r="G78" s="6" t="s">
        <v>20</v>
      </c>
      <c r="H78" s="10" t="s">
        <v>49</v>
      </c>
      <c r="I78" s="7" t="s">
        <v>21</v>
      </c>
      <c r="J78" s="2" t="s">
        <v>22</v>
      </c>
      <c r="K78" s="2" t="s">
        <v>262</v>
      </c>
      <c r="L78" s="6" t="s">
        <v>24</v>
      </c>
      <c r="M78" s="8" t="s">
        <v>242</v>
      </c>
      <c r="N78" s="2" t="s">
        <v>22</v>
      </c>
      <c r="O78" s="6" t="s">
        <v>26</v>
      </c>
      <c r="P78" s="8" t="s">
        <v>27</v>
      </c>
      <c r="Q78" s="8" t="s">
        <v>263</v>
      </c>
    </row>
    <row r="79" customFormat="false" ht="23.85" hidden="false" customHeight="false" outlineLevel="0" collapsed="false">
      <c r="A79" s="2" t="s">
        <v>225</v>
      </c>
      <c r="B79" s="2" t="s">
        <v>264</v>
      </c>
      <c r="C79" s="3" t="n">
        <v>40.22</v>
      </c>
      <c r="D79" s="3" t="n">
        <v>-105.845</v>
      </c>
      <c r="E79" s="4" t="s">
        <v>19</v>
      </c>
      <c r="F79" s="5" t="n">
        <v>8367</v>
      </c>
      <c r="G79" s="6" t="s">
        <v>20</v>
      </c>
      <c r="H79" s="10" t="s">
        <v>49</v>
      </c>
      <c r="I79" s="7" t="s">
        <v>21</v>
      </c>
      <c r="J79" s="2" t="s">
        <v>22</v>
      </c>
      <c r="K79" s="2" t="s">
        <v>231</v>
      </c>
      <c r="L79" s="9" t="s">
        <v>36</v>
      </c>
      <c r="M79" s="8" t="s">
        <v>232</v>
      </c>
      <c r="N79" s="2" t="s">
        <v>22</v>
      </c>
      <c r="O79" s="6" t="s">
        <v>26</v>
      </c>
      <c r="P79" s="8" t="s">
        <v>27</v>
      </c>
      <c r="Q79" s="8" t="s">
        <v>265</v>
      </c>
    </row>
    <row r="80" customFormat="false" ht="23.85" hidden="false" customHeight="false" outlineLevel="0" collapsed="false">
      <c r="A80" s="2" t="s">
        <v>266</v>
      </c>
      <c r="B80" s="2" t="s">
        <v>267</v>
      </c>
      <c r="C80" s="3" t="n">
        <v>41.475</v>
      </c>
      <c r="D80" s="3" t="n">
        <v>-73.448</v>
      </c>
      <c r="E80" s="4" t="s">
        <v>19</v>
      </c>
      <c r="F80" s="5" t="n">
        <v>429</v>
      </c>
      <c r="G80" s="6" t="s">
        <v>20</v>
      </c>
      <c r="H80" s="4" t="s">
        <v>19</v>
      </c>
      <c r="I80" s="7" t="s">
        <v>21</v>
      </c>
      <c r="J80" s="2" t="s">
        <v>22</v>
      </c>
      <c r="K80" s="2" t="s">
        <v>268</v>
      </c>
      <c r="L80" s="14" t="s">
        <v>72</v>
      </c>
      <c r="M80" s="8" t="s">
        <v>269</v>
      </c>
      <c r="N80" s="2" t="s">
        <v>70</v>
      </c>
      <c r="O80" s="9" t="s">
        <v>42</v>
      </c>
      <c r="P80" s="8" t="s">
        <v>43</v>
      </c>
      <c r="Q80" s="8" t="s">
        <v>270</v>
      </c>
    </row>
    <row r="81" customFormat="false" ht="23.85" hidden="false" customHeight="false" outlineLevel="0" collapsed="false">
      <c r="A81" s="2" t="s">
        <v>266</v>
      </c>
      <c r="B81" s="2" t="s">
        <v>271</v>
      </c>
      <c r="C81" s="3" t="n">
        <v>41.405</v>
      </c>
      <c r="D81" s="3" t="n">
        <v>-73.305</v>
      </c>
      <c r="E81" s="4" t="s">
        <v>19</v>
      </c>
      <c r="F81" s="5" t="n">
        <v>198</v>
      </c>
      <c r="G81" s="6" t="s">
        <v>20</v>
      </c>
      <c r="H81" s="10" t="s">
        <v>49</v>
      </c>
      <c r="I81" s="7" t="s">
        <v>21</v>
      </c>
      <c r="J81" s="2" t="s">
        <v>22</v>
      </c>
      <c r="K81" s="2" t="s">
        <v>272</v>
      </c>
      <c r="L81" s="9" t="s">
        <v>36</v>
      </c>
      <c r="M81" s="8" t="s">
        <v>273</v>
      </c>
      <c r="N81" s="2" t="s">
        <v>22</v>
      </c>
      <c r="O81" s="6" t="s">
        <v>26</v>
      </c>
      <c r="P81" s="8" t="s">
        <v>27</v>
      </c>
      <c r="Q81" s="8" t="s">
        <v>274</v>
      </c>
    </row>
    <row r="82" customFormat="false" ht="23.85" hidden="false" customHeight="false" outlineLevel="0" collapsed="false">
      <c r="A82" s="2" t="s">
        <v>266</v>
      </c>
      <c r="B82" s="2" t="s">
        <v>275</v>
      </c>
      <c r="C82" s="3" t="n">
        <v>41.708</v>
      </c>
      <c r="D82" s="3" t="n">
        <v>-73.218</v>
      </c>
      <c r="E82" s="4" t="s">
        <v>19</v>
      </c>
      <c r="F82" s="5" t="n">
        <v>902</v>
      </c>
      <c r="G82" s="11" t="s">
        <v>67</v>
      </c>
      <c r="H82" s="10" t="s">
        <v>49</v>
      </c>
      <c r="I82" s="13" t="s">
        <v>69</v>
      </c>
      <c r="J82" s="2" t="s">
        <v>70</v>
      </c>
      <c r="K82" s="2" t="s">
        <v>276</v>
      </c>
      <c r="L82" s="14" t="s">
        <v>72</v>
      </c>
      <c r="M82" s="8" t="s">
        <v>73</v>
      </c>
      <c r="N82" s="2" t="s">
        <v>70</v>
      </c>
      <c r="O82" s="9" t="s">
        <v>42</v>
      </c>
      <c r="P82" s="8" t="s">
        <v>43</v>
      </c>
      <c r="Q82" s="8" t="s">
        <v>277</v>
      </c>
    </row>
    <row r="83" customFormat="false" ht="23.85" hidden="false" customHeight="false" outlineLevel="0" collapsed="false">
      <c r="A83" s="2" t="s">
        <v>266</v>
      </c>
      <c r="B83" s="2" t="s">
        <v>278</v>
      </c>
      <c r="C83" s="3" t="n">
        <v>41.415</v>
      </c>
      <c r="D83" s="3" t="n">
        <v>-73.25</v>
      </c>
      <c r="E83" s="4" t="s">
        <v>19</v>
      </c>
      <c r="F83" s="5" t="n">
        <v>100</v>
      </c>
      <c r="G83" s="6" t="s">
        <v>20</v>
      </c>
      <c r="H83" s="10" t="s">
        <v>49</v>
      </c>
      <c r="I83" s="7" t="s">
        <v>21</v>
      </c>
      <c r="J83" s="2" t="s">
        <v>22</v>
      </c>
      <c r="K83" s="2" t="s">
        <v>279</v>
      </c>
      <c r="L83" s="9" t="s">
        <v>36</v>
      </c>
      <c r="M83" s="8" t="s">
        <v>273</v>
      </c>
      <c r="N83" s="2" t="s">
        <v>22</v>
      </c>
      <c r="O83" s="6" t="s">
        <v>26</v>
      </c>
      <c r="P83" s="8" t="s">
        <v>27</v>
      </c>
      <c r="Q83" s="8" t="s">
        <v>274</v>
      </c>
    </row>
    <row r="84" customFormat="false" ht="23.85" hidden="false" customHeight="false" outlineLevel="0" collapsed="false">
      <c r="A84" s="2" t="s">
        <v>266</v>
      </c>
      <c r="B84" s="2" t="s">
        <v>280</v>
      </c>
      <c r="C84" s="3" t="n">
        <v>41.542</v>
      </c>
      <c r="D84" s="3" t="n">
        <v>-72.172</v>
      </c>
      <c r="E84" s="4" t="s">
        <v>19</v>
      </c>
      <c r="F84" s="5" t="n">
        <v>427</v>
      </c>
      <c r="G84" s="11" t="s">
        <v>67</v>
      </c>
      <c r="H84" s="10" t="s">
        <v>49</v>
      </c>
      <c r="I84" s="13" t="s">
        <v>69</v>
      </c>
      <c r="J84" s="2" t="s">
        <v>70</v>
      </c>
      <c r="K84" s="2" t="s">
        <v>276</v>
      </c>
      <c r="L84" s="14" t="s">
        <v>72</v>
      </c>
      <c r="M84" s="8" t="s">
        <v>73</v>
      </c>
      <c r="N84" s="2" t="s">
        <v>70</v>
      </c>
      <c r="O84" s="9" t="s">
        <v>42</v>
      </c>
      <c r="P84" s="8" t="s">
        <v>43</v>
      </c>
      <c r="Q84" s="8" t="s">
        <v>281</v>
      </c>
    </row>
    <row r="85" customFormat="false" ht="23.85" hidden="false" customHeight="false" outlineLevel="0" collapsed="false">
      <c r="A85" s="2" t="s">
        <v>266</v>
      </c>
      <c r="B85" s="2" t="s">
        <v>282</v>
      </c>
      <c r="C85" s="3" t="n">
        <v>41.69</v>
      </c>
      <c r="D85" s="3" t="n">
        <v>-73.378</v>
      </c>
      <c r="E85" s="4" t="s">
        <v>19</v>
      </c>
      <c r="F85" s="5" t="n">
        <v>684</v>
      </c>
      <c r="G85" s="11" t="s">
        <v>67</v>
      </c>
      <c r="H85" s="12" t="s">
        <v>68</v>
      </c>
      <c r="I85" s="13" t="s">
        <v>69</v>
      </c>
      <c r="J85" s="2" t="s">
        <v>70</v>
      </c>
      <c r="K85" s="2" t="s">
        <v>283</v>
      </c>
      <c r="L85" s="14" t="s">
        <v>72</v>
      </c>
      <c r="M85" s="8" t="s">
        <v>73</v>
      </c>
      <c r="N85" s="2" t="s">
        <v>70</v>
      </c>
      <c r="O85" s="9" t="s">
        <v>42</v>
      </c>
      <c r="P85" s="8" t="s">
        <v>43</v>
      </c>
      <c r="Q85" s="8" t="s">
        <v>284</v>
      </c>
    </row>
    <row r="86" customFormat="false" ht="23.85" hidden="false" customHeight="false" outlineLevel="0" collapsed="false">
      <c r="A86" s="2" t="s">
        <v>266</v>
      </c>
      <c r="B86" s="2" t="s">
        <v>285</v>
      </c>
      <c r="C86" s="3" t="n">
        <v>41.772</v>
      </c>
      <c r="D86" s="3" t="n">
        <v>-72.308</v>
      </c>
      <c r="E86" s="4" t="s">
        <v>19</v>
      </c>
      <c r="F86" s="5" t="n">
        <v>495</v>
      </c>
      <c r="G86" s="11" t="s">
        <v>67</v>
      </c>
      <c r="H86" s="10" t="s">
        <v>49</v>
      </c>
      <c r="I86" s="13" t="s">
        <v>69</v>
      </c>
      <c r="J86" s="2" t="s">
        <v>70</v>
      </c>
      <c r="K86" s="2" t="s">
        <v>276</v>
      </c>
      <c r="L86" s="14" t="s">
        <v>72</v>
      </c>
      <c r="M86" s="8" t="s">
        <v>73</v>
      </c>
      <c r="N86" s="2" t="s">
        <v>70</v>
      </c>
      <c r="O86" s="9" t="s">
        <v>42</v>
      </c>
      <c r="P86" s="8" t="s">
        <v>43</v>
      </c>
      <c r="Q86" s="8" t="s">
        <v>284</v>
      </c>
    </row>
    <row r="87" customFormat="false" ht="23.85" hidden="false" customHeight="false" outlineLevel="0" collapsed="false">
      <c r="A87" s="2" t="s">
        <v>266</v>
      </c>
      <c r="B87" s="2" t="s">
        <v>286</v>
      </c>
      <c r="C87" s="3" t="n">
        <v>41.755</v>
      </c>
      <c r="D87" s="3" t="n">
        <v>-72.175</v>
      </c>
      <c r="E87" s="4" t="s">
        <v>19</v>
      </c>
      <c r="F87" s="5" t="n">
        <v>192</v>
      </c>
      <c r="G87" s="6" t="s">
        <v>20</v>
      </c>
      <c r="H87" s="10" t="s">
        <v>49</v>
      </c>
      <c r="I87" s="7" t="s">
        <v>21</v>
      </c>
      <c r="J87" s="2" t="s">
        <v>22</v>
      </c>
      <c r="K87" s="2" t="s">
        <v>287</v>
      </c>
      <c r="L87" s="9" t="s">
        <v>36</v>
      </c>
      <c r="M87" s="8" t="s">
        <v>288</v>
      </c>
      <c r="N87" s="2" t="s">
        <v>22</v>
      </c>
      <c r="O87" s="6" t="s">
        <v>26</v>
      </c>
      <c r="P87" s="8" t="s">
        <v>27</v>
      </c>
      <c r="Q87" s="8" t="s">
        <v>247</v>
      </c>
    </row>
    <row r="88" customFormat="false" ht="23.85" hidden="false" customHeight="false" outlineLevel="0" collapsed="false">
      <c r="A88" s="2" t="s">
        <v>266</v>
      </c>
      <c r="B88" s="2" t="s">
        <v>289</v>
      </c>
      <c r="C88" s="3" t="n">
        <v>41.91</v>
      </c>
      <c r="D88" s="3" t="n">
        <v>-73.072</v>
      </c>
      <c r="E88" s="4" t="s">
        <v>19</v>
      </c>
      <c r="F88" s="5" t="n">
        <v>832</v>
      </c>
      <c r="G88" s="11" t="s">
        <v>67</v>
      </c>
      <c r="H88" s="12" t="s">
        <v>68</v>
      </c>
      <c r="I88" s="13" t="s">
        <v>69</v>
      </c>
      <c r="J88" s="2" t="s">
        <v>70</v>
      </c>
      <c r="K88" s="2" t="s">
        <v>290</v>
      </c>
      <c r="L88" s="14" t="s">
        <v>72</v>
      </c>
      <c r="M88" s="8" t="s">
        <v>73</v>
      </c>
      <c r="N88" s="2" t="s">
        <v>70</v>
      </c>
      <c r="O88" s="9" t="s">
        <v>42</v>
      </c>
      <c r="P88" s="8" t="s">
        <v>43</v>
      </c>
      <c r="Q88" s="8" t="s">
        <v>291</v>
      </c>
    </row>
    <row r="89" customFormat="false" ht="23.85" hidden="false" customHeight="false" outlineLevel="0" collapsed="false">
      <c r="A89" s="2" t="s">
        <v>266</v>
      </c>
      <c r="B89" s="2" t="s">
        <v>292</v>
      </c>
      <c r="C89" s="3" t="n">
        <v>41.49</v>
      </c>
      <c r="D89" s="3" t="n">
        <v>-73.488</v>
      </c>
      <c r="E89" s="4" t="s">
        <v>19</v>
      </c>
      <c r="F89" s="5" t="n">
        <v>429</v>
      </c>
      <c r="G89" s="6" t="s">
        <v>20</v>
      </c>
      <c r="H89" s="10" t="s">
        <v>49</v>
      </c>
      <c r="I89" s="13" t="s">
        <v>69</v>
      </c>
      <c r="J89" s="2" t="s">
        <v>70</v>
      </c>
      <c r="K89" s="2" t="s">
        <v>293</v>
      </c>
      <c r="L89" s="14" t="s">
        <v>72</v>
      </c>
      <c r="M89" s="8" t="s">
        <v>73</v>
      </c>
      <c r="N89" s="2" t="s">
        <v>70</v>
      </c>
      <c r="O89" s="14" t="s">
        <v>294</v>
      </c>
      <c r="P89" s="8" t="s">
        <v>295</v>
      </c>
      <c r="Q89" s="8" t="s">
        <v>296</v>
      </c>
    </row>
    <row r="90" customFormat="false" ht="23.85" hidden="false" customHeight="false" outlineLevel="0" collapsed="false">
      <c r="A90" s="2" t="s">
        <v>266</v>
      </c>
      <c r="B90" s="2" t="s">
        <v>297</v>
      </c>
      <c r="C90" s="3" t="n">
        <v>41.592</v>
      </c>
      <c r="D90" s="3" t="n">
        <v>-71.888</v>
      </c>
      <c r="E90" s="10" t="s">
        <v>49</v>
      </c>
      <c r="F90" s="5" t="n">
        <v>68</v>
      </c>
      <c r="G90" s="6" t="s">
        <v>20</v>
      </c>
      <c r="H90" s="12" t="s">
        <v>68</v>
      </c>
      <c r="I90" s="7" t="s">
        <v>21</v>
      </c>
      <c r="J90" s="2" t="s">
        <v>22</v>
      </c>
      <c r="K90" s="2" t="s">
        <v>276</v>
      </c>
      <c r="L90" s="14" t="s">
        <v>72</v>
      </c>
      <c r="M90" s="8" t="s">
        <v>73</v>
      </c>
      <c r="N90" s="2" t="s">
        <v>70</v>
      </c>
      <c r="O90" s="9" t="s">
        <v>42</v>
      </c>
      <c r="P90" s="8" t="s">
        <v>43</v>
      </c>
      <c r="Q90" s="8" t="s">
        <v>298</v>
      </c>
    </row>
    <row r="91" customFormat="false" ht="23.85" hidden="false" customHeight="false" outlineLevel="0" collapsed="false">
      <c r="A91" s="2" t="s">
        <v>266</v>
      </c>
      <c r="B91" s="2" t="s">
        <v>299</v>
      </c>
      <c r="C91" s="3" t="n">
        <v>41.93</v>
      </c>
      <c r="D91" s="3" t="n">
        <v>-72.96</v>
      </c>
      <c r="E91" s="4" t="s">
        <v>19</v>
      </c>
      <c r="F91" s="5" t="n">
        <v>720</v>
      </c>
      <c r="G91" s="6" t="s">
        <v>20</v>
      </c>
      <c r="H91" s="10" t="s">
        <v>49</v>
      </c>
      <c r="I91" s="7" t="s">
        <v>21</v>
      </c>
      <c r="J91" s="2" t="s">
        <v>22</v>
      </c>
      <c r="K91" s="2" t="s">
        <v>300</v>
      </c>
      <c r="L91" s="14" t="s">
        <v>72</v>
      </c>
      <c r="M91" s="8" t="s">
        <v>301</v>
      </c>
      <c r="N91" s="2" t="s">
        <v>41</v>
      </c>
      <c r="O91" s="9" t="s">
        <v>42</v>
      </c>
      <c r="P91" s="8" t="s">
        <v>43</v>
      </c>
      <c r="Q91" s="8" t="s">
        <v>302</v>
      </c>
    </row>
    <row r="92" customFormat="false" ht="23.85" hidden="false" customHeight="false" outlineLevel="0" collapsed="false">
      <c r="A92" s="2" t="s">
        <v>303</v>
      </c>
      <c r="B92" s="2" t="s">
        <v>304</v>
      </c>
      <c r="C92" s="3" t="n">
        <v>39.558</v>
      </c>
      <c r="D92" s="3" t="n">
        <v>-75.72</v>
      </c>
      <c r="E92" s="4" t="s">
        <v>19</v>
      </c>
      <c r="F92" s="5" t="n">
        <v>40</v>
      </c>
      <c r="G92" s="6" t="s">
        <v>20</v>
      </c>
      <c r="H92" s="12" t="s">
        <v>68</v>
      </c>
      <c r="I92" s="7" t="s">
        <v>21</v>
      </c>
      <c r="J92" s="2" t="s">
        <v>22</v>
      </c>
      <c r="K92" s="2" t="s">
        <v>305</v>
      </c>
      <c r="L92" s="14" t="s">
        <v>72</v>
      </c>
      <c r="M92" s="8" t="s">
        <v>73</v>
      </c>
      <c r="N92" s="2" t="s">
        <v>70</v>
      </c>
      <c r="O92" s="14" t="s">
        <v>294</v>
      </c>
      <c r="P92" s="8" t="s">
        <v>295</v>
      </c>
      <c r="Q92" s="8" t="s">
        <v>306</v>
      </c>
    </row>
    <row r="93" customFormat="false" ht="23.85" hidden="false" customHeight="false" outlineLevel="0" collapsed="false">
      <c r="A93" s="2" t="s">
        <v>303</v>
      </c>
      <c r="B93" s="2" t="s">
        <v>307</v>
      </c>
      <c r="C93" s="3" t="n">
        <v>39.152</v>
      </c>
      <c r="D93" s="3" t="n">
        <v>-75.515</v>
      </c>
      <c r="E93" s="4" t="s">
        <v>19</v>
      </c>
      <c r="F93" s="5" t="n">
        <v>12</v>
      </c>
      <c r="G93" s="6" t="s">
        <v>20</v>
      </c>
      <c r="H93" s="12" t="s">
        <v>68</v>
      </c>
      <c r="I93" s="7" t="s">
        <v>21</v>
      </c>
      <c r="J93" s="2" t="s">
        <v>22</v>
      </c>
      <c r="K93" s="2" t="s">
        <v>308</v>
      </c>
      <c r="L93" s="9" t="s">
        <v>36</v>
      </c>
      <c r="M93" s="8" t="s">
        <v>309</v>
      </c>
      <c r="N93" s="2" t="s">
        <v>41</v>
      </c>
      <c r="O93" s="14" t="s">
        <v>294</v>
      </c>
      <c r="P93" s="8" t="s">
        <v>295</v>
      </c>
      <c r="Q93" s="8" t="s">
        <v>310</v>
      </c>
    </row>
    <row r="94" customFormat="false" ht="23.85" hidden="false" customHeight="false" outlineLevel="0" collapsed="false">
      <c r="A94" s="2" t="s">
        <v>303</v>
      </c>
      <c r="B94" s="2" t="s">
        <v>311</v>
      </c>
      <c r="C94" s="3" t="n">
        <v>38.988</v>
      </c>
      <c r="D94" s="3" t="n">
        <v>-75.539</v>
      </c>
      <c r="E94" s="4" t="s">
        <v>19</v>
      </c>
      <c r="F94" s="5" t="n">
        <v>40</v>
      </c>
      <c r="G94" s="6" t="s">
        <v>20</v>
      </c>
      <c r="H94" s="12" t="s">
        <v>68</v>
      </c>
      <c r="I94" s="7" t="s">
        <v>21</v>
      </c>
      <c r="J94" s="2" t="s">
        <v>22</v>
      </c>
      <c r="K94" s="2" t="s">
        <v>305</v>
      </c>
      <c r="L94" s="14" t="s">
        <v>72</v>
      </c>
      <c r="M94" s="8" t="s">
        <v>73</v>
      </c>
      <c r="N94" s="2" t="s">
        <v>70</v>
      </c>
      <c r="O94" s="14" t="s">
        <v>294</v>
      </c>
      <c r="P94" s="8" t="s">
        <v>295</v>
      </c>
      <c r="Q94" s="8" t="s">
        <v>310</v>
      </c>
    </row>
    <row r="95" customFormat="false" ht="23.85" hidden="false" customHeight="false" outlineLevel="0" collapsed="false">
      <c r="A95" s="2" t="s">
        <v>303</v>
      </c>
      <c r="B95" s="2" t="s">
        <v>312</v>
      </c>
      <c r="C95" s="3" t="n">
        <v>38.529</v>
      </c>
      <c r="D95" s="3" t="n">
        <v>-75.48</v>
      </c>
      <c r="E95" s="4" t="s">
        <v>19</v>
      </c>
      <c r="F95" s="5" t="n">
        <v>30</v>
      </c>
      <c r="G95" s="6" t="s">
        <v>20</v>
      </c>
      <c r="H95" s="12" t="s">
        <v>68</v>
      </c>
      <c r="I95" s="7" t="s">
        <v>21</v>
      </c>
      <c r="J95" s="2" t="s">
        <v>22</v>
      </c>
      <c r="K95" s="2" t="s">
        <v>305</v>
      </c>
      <c r="L95" s="14" t="s">
        <v>72</v>
      </c>
      <c r="M95" s="8" t="s">
        <v>73</v>
      </c>
      <c r="N95" s="2" t="s">
        <v>70</v>
      </c>
      <c r="O95" s="14" t="s">
        <v>294</v>
      </c>
      <c r="P95" s="8" t="s">
        <v>295</v>
      </c>
      <c r="Q95" s="8" t="s">
        <v>310</v>
      </c>
    </row>
    <row r="96" customFormat="false" ht="23.85" hidden="false" customHeight="false" outlineLevel="0" collapsed="false">
      <c r="A96" s="2" t="s">
        <v>303</v>
      </c>
      <c r="B96" s="2" t="s">
        <v>313</v>
      </c>
      <c r="C96" s="3" t="n">
        <v>39.64</v>
      </c>
      <c r="D96" s="3" t="n">
        <v>-75.687</v>
      </c>
      <c r="E96" s="10" t="s">
        <v>49</v>
      </c>
      <c r="F96" s="5" t="n">
        <v>50</v>
      </c>
      <c r="G96" s="6" t="s">
        <v>20</v>
      </c>
      <c r="H96" s="12" t="s">
        <v>68</v>
      </c>
      <c r="I96" s="7" t="s">
        <v>21</v>
      </c>
      <c r="J96" s="2" t="s">
        <v>22</v>
      </c>
      <c r="K96" s="2" t="s">
        <v>314</v>
      </c>
      <c r="L96" s="14" t="s">
        <v>72</v>
      </c>
      <c r="M96" s="8" t="s">
        <v>73</v>
      </c>
      <c r="N96" s="2" t="s">
        <v>70</v>
      </c>
      <c r="O96" s="14" t="s">
        <v>294</v>
      </c>
      <c r="P96" s="8" t="s">
        <v>295</v>
      </c>
      <c r="Q96" s="8" t="s">
        <v>315</v>
      </c>
    </row>
    <row r="97" customFormat="false" ht="23.85" hidden="false" customHeight="false" outlineLevel="0" collapsed="false">
      <c r="A97" s="2" t="s">
        <v>303</v>
      </c>
      <c r="B97" s="2" t="s">
        <v>316</v>
      </c>
      <c r="C97" s="3" t="n">
        <v>38.56</v>
      </c>
      <c r="D97" s="3" t="n">
        <v>-75.575</v>
      </c>
      <c r="E97" s="10" t="s">
        <v>49</v>
      </c>
      <c r="F97" s="5" t="n">
        <v>25</v>
      </c>
      <c r="G97" s="6" t="s">
        <v>20</v>
      </c>
      <c r="H97" s="12" t="s">
        <v>68</v>
      </c>
      <c r="I97" s="7" t="s">
        <v>21</v>
      </c>
      <c r="J97" s="2" t="s">
        <v>22</v>
      </c>
      <c r="K97" s="2" t="s">
        <v>317</v>
      </c>
      <c r="L97" s="14" t="s">
        <v>72</v>
      </c>
      <c r="M97" s="8" t="s">
        <v>73</v>
      </c>
      <c r="N97" s="2" t="s">
        <v>70</v>
      </c>
      <c r="O97" s="14" t="s">
        <v>294</v>
      </c>
      <c r="P97" s="8" t="s">
        <v>295</v>
      </c>
      <c r="Q97" s="8" t="s">
        <v>310</v>
      </c>
    </row>
    <row r="98" customFormat="false" ht="23.85" hidden="false" customHeight="false" outlineLevel="0" collapsed="false">
      <c r="A98" s="2" t="s">
        <v>303</v>
      </c>
      <c r="B98" s="2" t="s">
        <v>318</v>
      </c>
      <c r="C98" s="3" t="n">
        <v>38.612</v>
      </c>
      <c r="D98" s="3" t="n">
        <v>-75.592</v>
      </c>
      <c r="E98" s="10" t="s">
        <v>49</v>
      </c>
      <c r="F98" s="5" t="n">
        <v>20</v>
      </c>
      <c r="G98" s="6" t="s">
        <v>20</v>
      </c>
      <c r="H98" s="12" t="s">
        <v>68</v>
      </c>
      <c r="I98" s="7" t="s">
        <v>21</v>
      </c>
      <c r="J98" s="2" t="s">
        <v>22</v>
      </c>
      <c r="K98" s="2" t="s">
        <v>314</v>
      </c>
      <c r="L98" s="14" t="s">
        <v>72</v>
      </c>
      <c r="M98" s="8" t="s">
        <v>73</v>
      </c>
      <c r="N98" s="2" t="s">
        <v>70</v>
      </c>
      <c r="O98" s="14" t="s">
        <v>294</v>
      </c>
      <c r="P98" s="8" t="s">
        <v>295</v>
      </c>
      <c r="Q98" s="8" t="s">
        <v>310</v>
      </c>
    </row>
    <row r="99" customFormat="false" ht="23.85" hidden="false" customHeight="false" outlineLevel="0" collapsed="false">
      <c r="A99" s="2" t="s">
        <v>303</v>
      </c>
      <c r="B99" s="2" t="s">
        <v>319</v>
      </c>
      <c r="C99" s="3" t="n">
        <v>39.244</v>
      </c>
      <c r="D99" s="3" t="n">
        <v>-75.628</v>
      </c>
      <c r="E99" s="10" t="s">
        <v>49</v>
      </c>
      <c r="F99" s="5" t="n">
        <v>40</v>
      </c>
      <c r="G99" s="6" t="s">
        <v>20</v>
      </c>
      <c r="H99" s="12" t="s">
        <v>68</v>
      </c>
      <c r="I99" s="7" t="s">
        <v>21</v>
      </c>
      <c r="J99" s="2" t="s">
        <v>22</v>
      </c>
      <c r="K99" s="2" t="s">
        <v>314</v>
      </c>
      <c r="L99" s="14" t="s">
        <v>72</v>
      </c>
      <c r="M99" s="8" t="s">
        <v>73</v>
      </c>
      <c r="N99" s="2" t="s">
        <v>70</v>
      </c>
      <c r="O99" s="14" t="s">
        <v>294</v>
      </c>
      <c r="P99" s="8" t="s">
        <v>295</v>
      </c>
      <c r="Q99" s="8" t="s">
        <v>315</v>
      </c>
    </row>
    <row r="100" customFormat="false" ht="23.85" hidden="false" customHeight="false" outlineLevel="0" collapsed="false">
      <c r="A100" s="2" t="s">
        <v>303</v>
      </c>
      <c r="B100" s="2" t="s">
        <v>320</v>
      </c>
      <c r="C100" s="3" t="n">
        <v>38.908</v>
      </c>
      <c r="D100" s="3" t="n">
        <v>-75.542</v>
      </c>
      <c r="E100" s="12" t="s">
        <v>68</v>
      </c>
      <c r="F100" s="5" t="n">
        <v>35</v>
      </c>
      <c r="G100" s="6" t="s">
        <v>20</v>
      </c>
      <c r="H100" s="12" t="s">
        <v>68</v>
      </c>
      <c r="I100" s="7" t="s">
        <v>21</v>
      </c>
      <c r="J100" s="2" t="s">
        <v>22</v>
      </c>
      <c r="K100" s="2" t="s">
        <v>314</v>
      </c>
      <c r="L100" s="14" t="s">
        <v>72</v>
      </c>
      <c r="M100" s="8" t="s">
        <v>73</v>
      </c>
      <c r="N100" s="2" t="s">
        <v>70</v>
      </c>
      <c r="O100" s="14" t="s">
        <v>294</v>
      </c>
      <c r="P100" s="8" t="s">
        <v>295</v>
      </c>
      <c r="Q100" s="8" t="s">
        <v>315</v>
      </c>
    </row>
    <row r="101" customFormat="false" ht="23.85" hidden="false" customHeight="false" outlineLevel="0" collapsed="false">
      <c r="A101" s="2" t="s">
        <v>303</v>
      </c>
      <c r="B101" s="2" t="s">
        <v>321</v>
      </c>
      <c r="C101" s="3" t="n">
        <v>38.925</v>
      </c>
      <c r="D101" s="3" t="n">
        <v>-75.545</v>
      </c>
      <c r="E101" s="12" t="s">
        <v>68</v>
      </c>
      <c r="F101" s="5" t="n">
        <v>40</v>
      </c>
      <c r="G101" s="6" t="s">
        <v>20</v>
      </c>
      <c r="H101" s="12" t="s">
        <v>68</v>
      </c>
      <c r="I101" s="7" t="s">
        <v>21</v>
      </c>
      <c r="J101" s="2" t="s">
        <v>22</v>
      </c>
      <c r="K101" s="2" t="s">
        <v>314</v>
      </c>
      <c r="L101" s="14" t="s">
        <v>72</v>
      </c>
      <c r="M101" s="8" t="s">
        <v>73</v>
      </c>
      <c r="N101" s="2" t="s">
        <v>70</v>
      </c>
      <c r="O101" s="14" t="s">
        <v>294</v>
      </c>
      <c r="P101" s="8" t="s">
        <v>295</v>
      </c>
      <c r="Q101" s="8" t="s">
        <v>315</v>
      </c>
    </row>
    <row r="102" customFormat="false" ht="23.85" hidden="false" customHeight="false" outlineLevel="0" collapsed="false">
      <c r="A102" s="2" t="s">
        <v>303</v>
      </c>
      <c r="B102" s="2" t="s">
        <v>322</v>
      </c>
      <c r="C102" s="3" t="n">
        <v>38.753</v>
      </c>
      <c r="D102" s="3" t="n">
        <v>-75.16</v>
      </c>
      <c r="E102" s="10" t="s">
        <v>49</v>
      </c>
      <c r="F102" s="5" t="n">
        <v>10</v>
      </c>
      <c r="G102" s="6" t="s">
        <v>20</v>
      </c>
      <c r="H102" s="12" t="s">
        <v>68</v>
      </c>
      <c r="I102" s="7" t="s">
        <v>21</v>
      </c>
      <c r="J102" s="2" t="s">
        <v>22</v>
      </c>
      <c r="K102" s="2" t="s">
        <v>314</v>
      </c>
      <c r="L102" s="14" t="s">
        <v>72</v>
      </c>
      <c r="M102" s="8" t="s">
        <v>73</v>
      </c>
      <c r="N102" s="2" t="s">
        <v>70</v>
      </c>
      <c r="O102" s="14" t="s">
        <v>294</v>
      </c>
      <c r="P102" s="8" t="s">
        <v>295</v>
      </c>
      <c r="Q102" s="8" t="s">
        <v>310</v>
      </c>
    </row>
    <row r="103" customFormat="false" ht="23.85" hidden="false" customHeight="false" outlineLevel="0" collapsed="false">
      <c r="A103" s="2" t="s">
        <v>303</v>
      </c>
      <c r="B103" s="2" t="s">
        <v>323</v>
      </c>
      <c r="C103" s="3" t="n">
        <v>38.772</v>
      </c>
      <c r="D103" s="3" t="n">
        <v>-75.307</v>
      </c>
      <c r="E103" s="10" t="s">
        <v>49</v>
      </c>
      <c r="F103" s="5" t="n">
        <v>20</v>
      </c>
      <c r="G103" s="6" t="s">
        <v>20</v>
      </c>
      <c r="H103" s="12" t="s">
        <v>68</v>
      </c>
      <c r="I103" s="7" t="s">
        <v>21</v>
      </c>
      <c r="J103" s="2" t="s">
        <v>22</v>
      </c>
      <c r="K103" s="2" t="s">
        <v>314</v>
      </c>
      <c r="L103" s="14" t="s">
        <v>72</v>
      </c>
      <c r="M103" s="8" t="s">
        <v>73</v>
      </c>
      <c r="N103" s="2" t="s">
        <v>70</v>
      </c>
      <c r="O103" s="14" t="s">
        <v>294</v>
      </c>
      <c r="P103" s="8" t="s">
        <v>295</v>
      </c>
      <c r="Q103" s="8" t="s">
        <v>310</v>
      </c>
    </row>
    <row r="104" customFormat="false" ht="23.85" hidden="false" customHeight="false" outlineLevel="0" collapsed="false">
      <c r="A104" s="2" t="s">
        <v>324</v>
      </c>
      <c r="B104" s="2" t="s">
        <v>325</v>
      </c>
      <c r="C104" s="3" t="n">
        <v>26.94</v>
      </c>
      <c r="D104" s="3" t="n">
        <v>-80.8</v>
      </c>
      <c r="E104" s="4" t="s">
        <v>19</v>
      </c>
      <c r="F104" s="5" t="n">
        <v>15.5</v>
      </c>
      <c r="G104" s="6" t="s">
        <v>20</v>
      </c>
      <c r="H104" s="10" t="s">
        <v>49</v>
      </c>
      <c r="I104" s="13" t="s">
        <v>69</v>
      </c>
      <c r="J104" s="2" t="s">
        <v>70</v>
      </c>
      <c r="K104" s="2" t="s">
        <v>326</v>
      </c>
      <c r="L104" s="6" t="s">
        <v>24</v>
      </c>
      <c r="M104" s="8" t="s">
        <v>327</v>
      </c>
      <c r="N104" s="2" t="s">
        <v>22</v>
      </c>
      <c r="O104" s="15" t="s">
        <v>104</v>
      </c>
      <c r="P104" s="8" t="s">
        <v>105</v>
      </c>
      <c r="Q104" s="8" t="s">
        <v>328</v>
      </c>
    </row>
    <row r="105" customFormat="false" ht="23.85" hidden="false" customHeight="false" outlineLevel="0" collapsed="false">
      <c r="A105" s="2" t="s">
        <v>324</v>
      </c>
      <c r="B105" s="2" t="s">
        <v>329</v>
      </c>
      <c r="C105" s="3" t="n">
        <v>29.285</v>
      </c>
      <c r="D105" s="3" t="n">
        <v>-81.6</v>
      </c>
      <c r="E105" s="4" t="s">
        <v>19</v>
      </c>
      <c r="F105" s="5" t="n">
        <v>3</v>
      </c>
      <c r="G105" s="11" t="s">
        <v>67</v>
      </c>
      <c r="H105" s="10" t="s">
        <v>49</v>
      </c>
      <c r="I105" s="13" t="s">
        <v>69</v>
      </c>
      <c r="J105" s="2" t="s">
        <v>70</v>
      </c>
      <c r="K105" s="2" t="s">
        <v>330</v>
      </c>
      <c r="L105" s="9" t="s">
        <v>36</v>
      </c>
      <c r="M105" s="8" t="s">
        <v>331</v>
      </c>
      <c r="N105" s="2" t="s">
        <v>22</v>
      </c>
      <c r="O105" s="6" t="s">
        <v>26</v>
      </c>
      <c r="P105" s="8" t="s">
        <v>27</v>
      </c>
      <c r="Q105" s="8" t="s">
        <v>332</v>
      </c>
    </row>
    <row r="106" customFormat="false" ht="23.85" hidden="false" customHeight="false" outlineLevel="0" collapsed="false">
      <c r="A106" s="2" t="s">
        <v>324</v>
      </c>
      <c r="B106" s="2" t="s">
        <v>333</v>
      </c>
      <c r="C106" s="3" t="n">
        <v>27.94</v>
      </c>
      <c r="D106" s="3" t="n">
        <v>-81.27</v>
      </c>
      <c r="E106" s="4" t="s">
        <v>19</v>
      </c>
      <c r="F106" s="5" t="n">
        <v>52.5</v>
      </c>
      <c r="G106" s="6" t="s">
        <v>20</v>
      </c>
      <c r="H106" s="10" t="s">
        <v>49</v>
      </c>
      <c r="I106" s="13" t="s">
        <v>69</v>
      </c>
      <c r="J106" s="2" t="s">
        <v>70</v>
      </c>
      <c r="K106" s="2" t="s">
        <v>334</v>
      </c>
      <c r="L106" s="6" t="s">
        <v>24</v>
      </c>
      <c r="M106" s="8" t="s">
        <v>335</v>
      </c>
      <c r="N106" s="2" t="s">
        <v>22</v>
      </c>
      <c r="O106" s="6" t="s">
        <v>26</v>
      </c>
      <c r="P106" s="8" t="s">
        <v>27</v>
      </c>
      <c r="Q106" s="8" t="s">
        <v>336</v>
      </c>
    </row>
    <row r="107" customFormat="false" ht="23.85" hidden="false" customHeight="false" outlineLevel="0" collapsed="false">
      <c r="A107" s="2" t="s">
        <v>324</v>
      </c>
      <c r="B107" s="2" t="s">
        <v>337</v>
      </c>
      <c r="C107" s="3" t="n">
        <v>28.62</v>
      </c>
      <c r="D107" s="3" t="n">
        <v>-81.62</v>
      </c>
      <c r="E107" s="4" t="s">
        <v>19</v>
      </c>
      <c r="F107" s="5" t="n">
        <v>66</v>
      </c>
      <c r="G107" s="6" t="s">
        <v>20</v>
      </c>
      <c r="H107" s="10" t="s">
        <v>49</v>
      </c>
      <c r="I107" s="13" t="s">
        <v>69</v>
      </c>
      <c r="J107" s="2" t="s">
        <v>70</v>
      </c>
      <c r="K107" s="2" t="s">
        <v>338</v>
      </c>
      <c r="L107" s="9" t="s">
        <v>36</v>
      </c>
      <c r="M107" s="8" t="s">
        <v>339</v>
      </c>
      <c r="N107" s="2" t="s">
        <v>41</v>
      </c>
      <c r="O107" s="9" t="s">
        <v>42</v>
      </c>
      <c r="P107" s="8" t="s">
        <v>43</v>
      </c>
      <c r="Q107" s="8" t="s">
        <v>284</v>
      </c>
    </row>
    <row r="108" customFormat="false" ht="23.85" hidden="false" customHeight="false" outlineLevel="0" collapsed="false">
      <c r="A108" s="2" t="s">
        <v>324</v>
      </c>
      <c r="B108" s="2" t="s">
        <v>340</v>
      </c>
      <c r="C108" s="3" t="n">
        <v>27.38</v>
      </c>
      <c r="D108" s="3" t="n">
        <v>-81.3</v>
      </c>
      <c r="E108" s="4" t="s">
        <v>19</v>
      </c>
      <c r="F108" s="5" t="n">
        <v>39</v>
      </c>
      <c r="G108" s="6" t="s">
        <v>20</v>
      </c>
      <c r="H108" s="10" t="s">
        <v>49</v>
      </c>
      <c r="I108" s="13" t="s">
        <v>69</v>
      </c>
      <c r="J108" s="2" t="s">
        <v>70</v>
      </c>
      <c r="K108" s="2" t="s">
        <v>341</v>
      </c>
      <c r="L108" s="6" t="s">
        <v>24</v>
      </c>
      <c r="M108" s="8" t="s">
        <v>335</v>
      </c>
      <c r="N108" s="2" t="s">
        <v>22</v>
      </c>
      <c r="O108" s="6" t="s">
        <v>26</v>
      </c>
      <c r="P108" s="8" t="s">
        <v>27</v>
      </c>
      <c r="Q108" s="8" t="s">
        <v>342</v>
      </c>
    </row>
    <row r="109" customFormat="false" ht="23.85" hidden="false" customHeight="false" outlineLevel="0" collapsed="false">
      <c r="A109" s="2" t="s">
        <v>324</v>
      </c>
      <c r="B109" s="2" t="s">
        <v>343</v>
      </c>
      <c r="C109" s="3" t="n">
        <v>28.19</v>
      </c>
      <c r="D109" s="3" t="n">
        <v>-81.415</v>
      </c>
      <c r="E109" s="4" t="s">
        <v>19</v>
      </c>
      <c r="F109" s="5" t="n">
        <v>55</v>
      </c>
      <c r="G109" s="6" t="s">
        <v>20</v>
      </c>
      <c r="H109" s="10" t="s">
        <v>49</v>
      </c>
      <c r="I109" s="13" t="s">
        <v>69</v>
      </c>
      <c r="J109" s="2" t="s">
        <v>70</v>
      </c>
      <c r="K109" s="2" t="s">
        <v>344</v>
      </c>
      <c r="L109" s="6" t="s">
        <v>24</v>
      </c>
      <c r="M109" s="8" t="s">
        <v>335</v>
      </c>
      <c r="N109" s="2" t="s">
        <v>22</v>
      </c>
      <c r="O109" s="6" t="s">
        <v>26</v>
      </c>
      <c r="P109" s="8" t="s">
        <v>27</v>
      </c>
      <c r="Q109" s="8" t="s">
        <v>345</v>
      </c>
    </row>
    <row r="110" customFormat="false" ht="23.85" hidden="false" customHeight="false" outlineLevel="0" collapsed="false">
      <c r="A110" s="2" t="s">
        <v>324</v>
      </c>
      <c r="B110" s="2" t="s">
        <v>346</v>
      </c>
      <c r="C110" s="3" t="n">
        <v>28.27</v>
      </c>
      <c r="D110" s="3" t="n">
        <v>-81.33</v>
      </c>
      <c r="E110" s="4" t="s">
        <v>19</v>
      </c>
      <c r="F110" s="5" t="n">
        <v>58</v>
      </c>
      <c r="G110" s="6" t="s">
        <v>20</v>
      </c>
      <c r="H110" s="10" t="s">
        <v>49</v>
      </c>
      <c r="I110" s="13" t="s">
        <v>69</v>
      </c>
      <c r="J110" s="2" t="s">
        <v>70</v>
      </c>
      <c r="K110" s="2" t="s">
        <v>347</v>
      </c>
      <c r="L110" s="6" t="s">
        <v>24</v>
      </c>
      <c r="M110" s="8" t="s">
        <v>335</v>
      </c>
      <c r="N110" s="2" t="s">
        <v>22</v>
      </c>
      <c r="O110" s="6" t="s">
        <v>26</v>
      </c>
      <c r="P110" s="8" t="s">
        <v>27</v>
      </c>
      <c r="Q110" s="8" t="s">
        <v>345</v>
      </c>
    </row>
    <row r="111" customFormat="false" ht="23.85" hidden="false" customHeight="false" outlineLevel="0" collapsed="false">
      <c r="A111" s="2" t="s">
        <v>324</v>
      </c>
      <c r="B111" s="2" t="s">
        <v>348</v>
      </c>
      <c r="C111" s="3" t="n">
        <v>29.475</v>
      </c>
      <c r="D111" s="3" t="n">
        <v>-82.2</v>
      </c>
      <c r="E111" s="4" t="s">
        <v>19</v>
      </c>
      <c r="F111" s="5" t="n">
        <v>58</v>
      </c>
      <c r="G111" s="11" t="s">
        <v>67</v>
      </c>
      <c r="H111" s="10" t="s">
        <v>49</v>
      </c>
      <c r="I111" s="13" t="s">
        <v>69</v>
      </c>
      <c r="J111" s="2" t="s">
        <v>70</v>
      </c>
      <c r="K111" s="2" t="s">
        <v>338</v>
      </c>
      <c r="L111" s="9" t="s">
        <v>36</v>
      </c>
      <c r="M111" s="8" t="s">
        <v>339</v>
      </c>
      <c r="N111" s="2" t="s">
        <v>41</v>
      </c>
      <c r="O111" s="9" t="s">
        <v>42</v>
      </c>
      <c r="P111" s="8" t="s">
        <v>43</v>
      </c>
      <c r="Q111" s="8" t="s">
        <v>349</v>
      </c>
    </row>
    <row r="112" customFormat="false" ht="23.85" hidden="false" customHeight="false" outlineLevel="0" collapsed="false">
      <c r="A112" s="2" t="s">
        <v>324</v>
      </c>
      <c r="B112" s="2" t="s">
        <v>350</v>
      </c>
      <c r="C112" s="3" t="n">
        <v>28.76</v>
      </c>
      <c r="D112" s="3" t="n">
        <v>-81.81</v>
      </c>
      <c r="E112" s="4" t="s">
        <v>19</v>
      </c>
      <c r="F112" s="5" t="n">
        <v>62</v>
      </c>
      <c r="G112" s="6" t="s">
        <v>20</v>
      </c>
      <c r="H112" s="10" t="s">
        <v>49</v>
      </c>
      <c r="I112" s="13" t="s">
        <v>69</v>
      </c>
      <c r="J112" s="2" t="s">
        <v>70</v>
      </c>
      <c r="K112" s="2" t="s">
        <v>351</v>
      </c>
      <c r="L112" s="9" t="s">
        <v>36</v>
      </c>
      <c r="M112" s="8" t="s">
        <v>339</v>
      </c>
      <c r="N112" s="2" t="s">
        <v>41</v>
      </c>
      <c r="O112" s="9" t="s">
        <v>42</v>
      </c>
      <c r="P112" s="8" t="s">
        <v>43</v>
      </c>
      <c r="Q112" s="8" t="s">
        <v>352</v>
      </c>
    </row>
    <row r="113" customFormat="false" ht="23.85" hidden="false" customHeight="false" outlineLevel="0" collapsed="false">
      <c r="A113" s="2" t="s">
        <v>324</v>
      </c>
      <c r="B113" s="2" t="s">
        <v>353</v>
      </c>
      <c r="C113" s="3" t="n">
        <v>28.86</v>
      </c>
      <c r="D113" s="3" t="n">
        <v>-81.89</v>
      </c>
      <c r="E113" s="4" t="s">
        <v>19</v>
      </c>
      <c r="F113" s="5" t="n">
        <v>59</v>
      </c>
      <c r="G113" s="6" t="s">
        <v>20</v>
      </c>
      <c r="H113" s="10" t="s">
        <v>49</v>
      </c>
      <c r="I113" s="13" t="s">
        <v>69</v>
      </c>
      <c r="J113" s="2" t="s">
        <v>70</v>
      </c>
      <c r="K113" s="2" t="s">
        <v>354</v>
      </c>
      <c r="L113" s="9" t="s">
        <v>36</v>
      </c>
      <c r="M113" s="8" t="s">
        <v>339</v>
      </c>
      <c r="N113" s="2" t="s">
        <v>22</v>
      </c>
      <c r="O113" s="6" t="s">
        <v>26</v>
      </c>
      <c r="P113" s="8" t="s">
        <v>27</v>
      </c>
      <c r="Q113" s="8" t="s">
        <v>355</v>
      </c>
    </row>
    <row r="114" customFormat="false" ht="23.85" hidden="false" customHeight="false" outlineLevel="0" collapsed="false">
      <c r="A114" s="2" t="s">
        <v>324</v>
      </c>
      <c r="B114" s="2" t="s">
        <v>356</v>
      </c>
      <c r="C114" s="3" t="n">
        <v>30.73</v>
      </c>
      <c r="D114" s="3" t="n">
        <v>-84.87</v>
      </c>
      <c r="E114" s="4" t="s">
        <v>19</v>
      </c>
      <c r="F114" s="5" t="n">
        <v>77.5</v>
      </c>
      <c r="G114" s="6" t="s">
        <v>20</v>
      </c>
      <c r="H114" s="4" t="s">
        <v>19</v>
      </c>
      <c r="I114" s="7" t="s">
        <v>21</v>
      </c>
      <c r="J114" s="2" t="s">
        <v>22</v>
      </c>
      <c r="K114" s="2" t="s">
        <v>357</v>
      </c>
      <c r="L114" s="9" t="s">
        <v>36</v>
      </c>
      <c r="M114" s="8" t="s">
        <v>358</v>
      </c>
      <c r="N114" s="2" t="s">
        <v>41</v>
      </c>
      <c r="O114" s="9" t="s">
        <v>42</v>
      </c>
      <c r="P114" s="8" t="s">
        <v>43</v>
      </c>
      <c r="Q114" s="8" t="s">
        <v>359</v>
      </c>
    </row>
    <row r="115" customFormat="false" ht="23.85" hidden="false" customHeight="false" outlineLevel="0" collapsed="false">
      <c r="A115" s="2" t="s">
        <v>324</v>
      </c>
      <c r="B115" s="2" t="s">
        <v>360</v>
      </c>
      <c r="C115" s="3" t="n">
        <v>29.445</v>
      </c>
      <c r="D115" s="3" t="n">
        <v>-81.51</v>
      </c>
      <c r="E115" s="4" t="s">
        <v>19</v>
      </c>
      <c r="F115" s="5" t="n">
        <v>4</v>
      </c>
      <c r="G115" s="11" t="s">
        <v>67</v>
      </c>
      <c r="H115" s="10" t="s">
        <v>49</v>
      </c>
      <c r="I115" s="13" t="s">
        <v>69</v>
      </c>
      <c r="J115" s="2" t="s">
        <v>70</v>
      </c>
      <c r="K115" s="2" t="s">
        <v>330</v>
      </c>
      <c r="L115" s="9" t="s">
        <v>36</v>
      </c>
      <c r="M115" s="8" t="s">
        <v>331</v>
      </c>
      <c r="N115" s="2" t="s">
        <v>22</v>
      </c>
      <c r="O115" s="6" t="s">
        <v>26</v>
      </c>
      <c r="P115" s="8" t="s">
        <v>27</v>
      </c>
      <c r="Q115" s="8" t="s">
        <v>284</v>
      </c>
    </row>
    <row r="116" customFormat="false" ht="23.85" hidden="false" customHeight="false" outlineLevel="0" collapsed="false">
      <c r="A116" s="2" t="s">
        <v>324</v>
      </c>
      <c r="B116" s="2" t="s">
        <v>361</v>
      </c>
      <c r="C116" s="3" t="n">
        <v>28.71</v>
      </c>
      <c r="D116" s="3" t="n">
        <v>-81.24</v>
      </c>
      <c r="E116" s="4" t="s">
        <v>19</v>
      </c>
      <c r="F116" s="5" t="n">
        <v>5</v>
      </c>
      <c r="G116" s="11" t="s">
        <v>67</v>
      </c>
      <c r="H116" s="10" t="s">
        <v>49</v>
      </c>
      <c r="I116" s="13" t="s">
        <v>69</v>
      </c>
      <c r="J116" s="2" t="s">
        <v>70</v>
      </c>
      <c r="K116" s="2" t="s">
        <v>330</v>
      </c>
      <c r="L116" s="9" t="s">
        <v>36</v>
      </c>
      <c r="M116" s="8" t="s">
        <v>339</v>
      </c>
      <c r="N116" s="2" t="s">
        <v>22</v>
      </c>
      <c r="O116" s="6" t="s">
        <v>26</v>
      </c>
      <c r="P116" s="8" t="s">
        <v>27</v>
      </c>
      <c r="Q116" s="8" t="s">
        <v>362</v>
      </c>
    </row>
    <row r="117" customFormat="false" ht="23.85" hidden="false" customHeight="false" outlineLevel="0" collapsed="false">
      <c r="A117" s="2" t="s">
        <v>324</v>
      </c>
      <c r="B117" s="2" t="s">
        <v>363</v>
      </c>
      <c r="C117" s="3" t="n">
        <v>29.515</v>
      </c>
      <c r="D117" s="3" t="n">
        <v>-82.125</v>
      </c>
      <c r="E117" s="4" t="s">
        <v>19</v>
      </c>
      <c r="F117" s="5" t="n">
        <v>57</v>
      </c>
      <c r="G117" s="11" t="s">
        <v>67</v>
      </c>
      <c r="H117" s="10" t="s">
        <v>49</v>
      </c>
      <c r="I117" s="13" t="s">
        <v>69</v>
      </c>
      <c r="J117" s="2" t="s">
        <v>70</v>
      </c>
      <c r="K117" s="2" t="s">
        <v>338</v>
      </c>
      <c r="L117" s="9" t="s">
        <v>36</v>
      </c>
      <c r="M117" s="8" t="s">
        <v>339</v>
      </c>
      <c r="N117" s="2" t="s">
        <v>41</v>
      </c>
      <c r="O117" s="9" t="s">
        <v>42</v>
      </c>
      <c r="P117" s="8" t="s">
        <v>43</v>
      </c>
      <c r="Q117" s="8" t="s">
        <v>284</v>
      </c>
    </row>
    <row r="118" customFormat="false" ht="23.85" hidden="false" customHeight="false" outlineLevel="0" collapsed="false">
      <c r="A118" s="2" t="s">
        <v>364</v>
      </c>
      <c r="B118" s="2" t="s">
        <v>365</v>
      </c>
      <c r="C118" s="3" t="n">
        <v>34.22</v>
      </c>
      <c r="D118" s="3" t="n">
        <v>-84.07</v>
      </c>
      <c r="E118" s="4" t="s">
        <v>19</v>
      </c>
      <c r="F118" s="5" t="n">
        <v>1071</v>
      </c>
      <c r="G118" s="6" t="s">
        <v>20</v>
      </c>
      <c r="H118" s="4" t="s">
        <v>19</v>
      </c>
      <c r="I118" s="7" t="s">
        <v>21</v>
      </c>
      <c r="J118" s="2" t="s">
        <v>22</v>
      </c>
      <c r="K118" s="2" t="s">
        <v>366</v>
      </c>
      <c r="L118" s="6" t="s">
        <v>24</v>
      </c>
      <c r="M118" s="8" t="s">
        <v>367</v>
      </c>
      <c r="N118" s="2" t="s">
        <v>22</v>
      </c>
      <c r="O118" s="6" t="s">
        <v>26</v>
      </c>
      <c r="P118" s="8" t="s">
        <v>27</v>
      </c>
      <c r="Q118" s="8" t="s">
        <v>59</v>
      </c>
    </row>
    <row r="119" customFormat="false" ht="23.85" hidden="false" customHeight="false" outlineLevel="0" collapsed="false">
      <c r="A119" s="2" t="s">
        <v>364</v>
      </c>
      <c r="B119" s="2" t="s">
        <v>368</v>
      </c>
      <c r="C119" s="3" t="n">
        <v>34.36</v>
      </c>
      <c r="D119" s="3" t="n">
        <v>-82.83</v>
      </c>
      <c r="E119" s="4" t="s">
        <v>19</v>
      </c>
      <c r="F119" s="5" t="n">
        <v>660</v>
      </c>
      <c r="G119" s="6" t="s">
        <v>20</v>
      </c>
      <c r="H119" s="4" t="s">
        <v>19</v>
      </c>
      <c r="I119" s="7" t="s">
        <v>21</v>
      </c>
      <c r="J119" s="2" t="s">
        <v>22</v>
      </c>
      <c r="K119" s="2" t="s">
        <v>369</v>
      </c>
      <c r="L119" s="6" t="s">
        <v>24</v>
      </c>
      <c r="M119" s="8" t="s">
        <v>370</v>
      </c>
      <c r="N119" s="2" t="s">
        <v>22</v>
      </c>
      <c r="O119" s="6" t="s">
        <v>26</v>
      </c>
      <c r="P119" s="8" t="s">
        <v>27</v>
      </c>
      <c r="Q119" s="8" t="s">
        <v>371</v>
      </c>
    </row>
    <row r="120" customFormat="false" ht="23.85" hidden="false" customHeight="false" outlineLevel="0" collapsed="false">
      <c r="A120" s="2" t="s">
        <v>364</v>
      </c>
      <c r="B120" s="2" t="s">
        <v>372</v>
      </c>
      <c r="C120" s="3" t="n">
        <v>33.66</v>
      </c>
      <c r="D120" s="3" t="n">
        <v>-82.2</v>
      </c>
      <c r="E120" s="4" t="s">
        <v>19</v>
      </c>
      <c r="F120" s="5" t="n">
        <v>330</v>
      </c>
      <c r="G120" s="6" t="s">
        <v>20</v>
      </c>
      <c r="H120" s="4" t="s">
        <v>19</v>
      </c>
      <c r="I120" s="7" t="s">
        <v>21</v>
      </c>
      <c r="J120" s="2" t="s">
        <v>22</v>
      </c>
      <c r="K120" s="2" t="s">
        <v>369</v>
      </c>
      <c r="L120" s="6" t="s">
        <v>24</v>
      </c>
      <c r="M120" s="8" t="s">
        <v>370</v>
      </c>
      <c r="N120" s="2" t="s">
        <v>22</v>
      </c>
      <c r="O120" s="6" t="s">
        <v>26</v>
      </c>
      <c r="P120" s="8" t="s">
        <v>27</v>
      </c>
      <c r="Q120" s="8" t="s">
        <v>371</v>
      </c>
    </row>
    <row r="121" customFormat="false" ht="23.85" hidden="false" customHeight="false" outlineLevel="0" collapsed="false">
      <c r="A121" s="2" t="s">
        <v>364</v>
      </c>
      <c r="B121" s="2" t="s">
        <v>373</v>
      </c>
      <c r="C121" s="3" t="n">
        <v>33.43</v>
      </c>
      <c r="D121" s="3" t="n">
        <v>-83.25</v>
      </c>
      <c r="E121" s="4" t="s">
        <v>19</v>
      </c>
      <c r="F121" s="5" t="n">
        <v>435</v>
      </c>
      <c r="G121" s="6" t="s">
        <v>20</v>
      </c>
      <c r="H121" s="4" t="s">
        <v>19</v>
      </c>
      <c r="I121" s="7" t="s">
        <v>21</v>
      </c>
      <c r="J121" s="2" t="s">
        <v>22</v>
      </c>
      <c r="K121" s="2" t="s">
        <v>374</v>
      </c>
      <c r="L121" s="6" t="s">
        <v>24</v>
      </c>
      <c r="M121" s="8" t="s">
        <v>375</v>
      </c>
      <c r="N121" s="2" t="s">
        <v>41</v>
      </c>
      <c r="O121" s="9" t="s">
        <v>42</v>
      </c>
      <c r="P121" s="8" t="s">
        <v>43</v>
      </c>
      <c r="Q121" s="8" t="s">
        <v>376</v>
      </c>
    </row>
    <row r="122" customFormat="false" ht="23.85" hidden="false" customHeight="false" outlineLevel="0" collapsed="false">
      <c r="A122" s="2" t="s">
        <v>364</v>
      </c>
      <c r="B122" s="2" t="s">
        <v>377</v>
      </c>
      <c r="C122" s="3" t="n">
        <v>33.15</v>
      </c>
      <c r="D122" s="3" t="n">
        <v>-83.26</v>
      </c>
      <c r="E122" s="4" t="s">
        <v>19</v>
      </c>
      <c r="F122" s="5" t="n">
        <v>340</v>
      </c>
      <c r="G122" s="6" t="s">
        <v>20</v>
      </c>
      <c r="H122" s="4" t="s">
        <v>19</v>
      </c>
      <c r="I122" s="7" t="s">
        <v>21</v>
      </c>
      <c r="J122" s="2" t="s">
        <v>22</v>
      </c>
      <c r="K122" s="2" t="s">
        <v>378</v>
      </c>
      <c r="L122" s="6" t="s">
        <v>24</v>
      </c>
      <c r="M122" s="8" t="s">
        <v>379</v>
      </c>
      <c r="N122" s="2" t="s">
        <v>22</v>
      </c>
      <c r="O122" s="6" t="s">
        <v>26</v>
      </c>
      <c r="P122" s="8" t="s">
        <v>27</v>
      </c>
      <c r="Q122" s="8" t="s">
        <v>376</v>
      </c>
    </row>
    <row r="123" customFormat="false" ht="23.85" hidden="false" customHeight="false" outlineLevel="0" collapsed="false">
      <c r="A123" s="2" t="s">
        <v>364</v>
      </c>
      <c r="B123" s="2" t="s">
        <v>380</v>
      </c>
      <c r="C123" s="3" t="n">
        <v>32.92</v>
      </c>
      <c r="D123" s="3" t="n">
        <v>-85.18</v>
      </c>
      <c r="E123" s="4" t="s">
        <v>19</v>
      </c>
      <c r="F123" s="5" t="n">
        <v>635</v>
      </c>
      <c r="G123" s="6" t="s">
        <v>20</v>
      </c>
      <c r="H123" s="4" t="s">
        <v>19</v>
      </c>
      <c r="I123" s="7" t="s">
        <v>21</v>
      </c>
      <c r="J123" s="2" t="s">
        <v>22</v>
      </c>
      <c r="K123" s="2" t="s">
        <v>57</v>
      </c>
      <c r="L123" s="6" t="s">
        <v>24</v>
      </c>
      <c r="M123" s="8" t="s">
        <v>367</v>
      </c>
      <c r="N123" s="2" t="s">
        <v>22</v>
      </c>
      <c r="O123" s="6" t="s">
        <v>26</v>
      </c>
      <c r="P123" s="8" t="s">
        <v>27</v>
      </c>
      <c r="Q123" s="8" t="s">
        <v>59</v>
      </c>
    </row>
    <row r="124" customFormat="false" ht="23.85" hidden="false" customHeight="false" outlineLevel="0" collapsed="false">
      <c r="A124" s="2" t="s">
        <v>364</v>
      </c>
      <c r="B124" s="2" t="s">
        <v>381</v>
      </c>
      <c r="C124" s="3" t="n">
        <v>34.16</v>
      </c>
      <c r="D124" s="3" t="n">
        <v>-84.725</v>
      </c>
      <c r="E124" s="4" t="s">
        <v>19</v>
      </c>
      <c r="F124" s="5" t="n">
        <v>840</v>
      </c>
      <c r="G124" s="6" t="s">
        <v>20</v>
      </c>
      <c r="H124" s="4" t="s">
        <v>19</v>
      </c>
      <c r="I124" s="7" t="s">
        <v>21</v>
      </c>
      <c r="J124" s="2" t="s">
        <v>22</v>
      </c>
      <c r="K124" s="2" t="s">
        <v>57</v>
      </c>
      <c r="L124" s="6" t="s">
        <v>24</v>
      </c>
      <c r="M124" s="8" t="s">
        <v>367</v>
      </c>
      <c r="N124" s="2" t="s">
        <v>22</v>
      </c>
      <c r="O124" s="6" t="s">
        <v>26</v>
      </c>
      <c r="P124" s="8" t="s">
        <v>27</v>
      </c>
      <c r="Q124" s="8" t="s">
        <v>382</v>
      </c>
    </row>
    <row r="125" customFormat="false" ht="23.85" hidden="false" customHeight="false" outlineLevel="0" collapsed="false">
      <c r="A125" s="2" t="s">
        <v>364</v>
      </c>
      <c r="B125" s="2" t="s">
        <v>356</v>
      </c>
      <c r="C125" s="3" t="n">
        <v>30.8</v>
      </c>
      <c r="D125" s="3" t="n">
        <v>-84.88</v>
      </c>
      <c r="E125" s="4" t="s">
        <v>19</v>
      </c>
      <c r="F125" s="5" t="n">
        <v>77.5</v>
      </c>
      <c r="G125" s="6" t="s">
        <v>20</v>
      </c>
      <c r="H125" s="4" t="s">
        <v>19</v>
      </c>
      <c r="I125" s="7" t="s">
        <v>21</v>
      </c>
      <c r="J125" s="2" t="s">
        <v>22</v>
      </c>
      <c r="K125" s="2" t="s">
        <v>383</v>
      </c>
      <c r="L125" s="6" t="s">
        <v>24</v>
      </c>
      <c r="M125" s="8" t="s">
        <v>367</v>
      </c>
      <c r="N125" s="2" t="s">
        <v>22</v>
      </c>
      <c r="O125" s="6" t="s">
        <v>26</v>
      </c>
      <c r="P125" s="8" t="s">
        <v>27</v>
      </c>
      <c r="Q125" s="8" t="s">
        <v>384</v>
      </c>
    </row>
    <row r="126" customFormat="false" ht="23.85" hidden="false" customHeight="false" outlineLevel="0" collapsed="false">
      <c r="A126" s="2" t="s">
        <v>364</v>
      </c>
      <c r="B126" s="2" t="s">
        <v>385</v>
      </c>
      <c r="C126" s="3" t="n">
        <v>34.62</v>
      </c>
      <c r="D126" s="3" t="n">
        <v>-84.67</v>
      </c>
      <c r="E126" s="4" t="s">
        <v>19</v>
      </c>
      <c r="F126" s="5" t="n">
        <v>1074</v>
      </c>
      <c r="G126" s="6" t="s">
        <v>20</v>
      </c>
      <c r="H126" s="4" t="s">
        <v>19</v>
      </c>
      <c r="I126" s="7" t="s">
        <v>21</v>
      </c>
      <c r="J126" s="2" t="s">
        <v>22</v>
      </c>
      <c r="K126" s="2" t="s">
        <v>57</v>
      </c>
      <c r="L126" s="6" t="s">
        <v>24</v>
      </c>
      <c r="M126" s="8" t="s">
        <v>367</v>
      </c>
      <c r="N126" s="2" t="s">
        <v>22</v>
      </c>
      <c r="O126" s="6" t="s">
        <v>26</v>
      </c>
      <c r="P126" s="8" t="s">
        <v>27</v>
      </c>
      <c r="Q126" s="8" t="s">
        <v>386</v>
      </c>
    </row>
    <row r="127" customFormat="false" ht="23.85" hidden="false" customHeight="false" outlineLevel="0" collapsed="false">
      <c r="A127" s="2" t="s">
        <v>364</v>
      </c>
      <c r="B127" s="2" t="s">
        <v>387</v>
      </c>
      <c r="C127" s="3" t="n">
        <v>31.83</v>
      </c>
      <c r="D127" s="3" t="n">
        <v>-83.955</v>
      </c>
      <c r="E127" s="4" t="s">
        <v>19</v>
      </c>
      <c r="F127" s="5" t="n">
        <v>235</v>
      </c>
      <c r="G127" s="6" t="s">
        <v>20</v>
      </c>
      <c r="H127" s="10" t="s">
        <v>49</v>
      </c>
      <c r="I127" s="7" t="s">
        <v>21</v>
      </c>
      <c r="J127" s="2" t="s">
        <v>22</v>
      </c>
      <c r="K127" s="2" t="s">
        <v>388</v>
      </c>
      <c r="L127" s="9" t="s">
        <v>36</v>
      </c>
      <c r="M127" s="8" t="s">
        <v>389</v>
      </c>
      <c r="N127" s="2" t="s">
        <v>22</v>
      </c>
      <c r="O127" s="6" t="s">
        <v>26</v>
      </c>
      <c r="P127" s="8" t="s">
        <v>27</v>
      </c>
      <c r="Q127" s="8" t="s">
        <v>390</v>
      </c>
    </row>
    <row r="128" customFormat="false" ht="23.85" hidden="false" customHeight="false" outlineLevel="0" collapsed="false">
      <c r="A128" s="2" t="s">
        <v>364</v>
      </c>
      <c r="B128" s="2" t="s">
        <v>391</v>
      </c>
      <c r="C128" s="3" t="n">
        <v>31.9</v>
      </c>
      <c r="D128" s="3" t="n">
        <v>-85.05</v>
      </c>
      <c r="E128" s="4" t="s">
        <v>19</v>
      </c>
      <c r="F128" s="5" t="n">
        <v>190</v>
      </c>
      <c r="G128" s="6" t="s">
        <v>20</v>
      </c>
      <c r="H128" s="4" t="s">
        <v>19</v>
      </c>
      <c r="I128" s="7" t="s">
        <v>21</v>
      </c>
      <c r="J128" s="2" t="s">
        <v>22</v>
      </c>
      <c r="K128" s="2" t="s">
        <v>57</v>
      </c>
      <c r="L128" s="6" t="s">
        <v>24</v>
      </c>
      <c r="M128" s="8" t="s">
        <v>367</v>
      </c>
      <c r="N128" s="2" t="s">
        <v>22</v>
      </c>
      <c r="O128" s="6" t="s">
        <v>26</v>
      </c>
      <c r="P128" s="8" t="s">
        <v>27</v>
      </c>
      <c r="Q128" s="8" t="s">
        <v>59</v>
      </c>
    </row>
    <row r="129" customFormat="false" ht="23.85" hidden="false" customHeight="false" outlineLevel="0" collapsed="false">
      <c r="A129" s="2" t="s">
        <v>364</v>
      </c>
      <c r="B129" s="2" t="s">
        <v>392</v>
      </c>
      <c r="C129" s="3" t="n">
        <v>34.77</v>
      </c>
      <c r="D129" s="3" t="n">
        <v>-83.55</v>
      </c>
      <c r="E129" s="4" t="s">
        <v>19</v>
      </c>
      <c r="F129" s="5" t="n">
        <v>1866</v>
      </c>
      <c r="G129" s="6" t="s">
        <v>20</v>
      </c>
      <c r="H129" s="4" t="s">
        <v>19</v>
      </c>
      <c r="I129" s="7" t="s">
        <v>21</v>
      </c>
      <c r="J129" s="2" t="s">
        <v>22</v>
      </c>
      <c r="K129" s="2" t="s">
        <v>393</v>
      </c>
      <c r="L129" s="6" t="s">
        <v>24</v>
      </c>
      <c r="M129" s="8" t="s">
        <v>394</v>
      </c>
      <c r="N129" s="2" t="s">
        <v>41</v>
      </c>
      <c r="O129" s="9" t="s">
        <v>42</v>
      </c>
      <c r="P129" s="8" t="s">
        <v>43</v>
      </c>
      <c r="Q129" s="8" t="s">
        <v>395</v>
      </c>
    </row>
    <row r="130" customFormat="false" ht="23.85" hidden="false" customHeight="false" outlineLevel="0" collapsed="false">
      <c r="A130" s="2" t="s">
        <v>364</v>
      </c>
      <c r="B130" s="2" t="s">
        <v>396</v>
      </c>
      <c r="C130" s="3" t="n">
        <v>34.05</v>
      </c>
      <c r="D130" s="3" t="n">
        <v>-82.65</v>
      </c>
      <c r="E130" s="4" t="s">
        <v>19</v>
      </c>
      <c r="F130" s="5" t="n">
        <v>475</v>
      </c>
      <c r="G130" s="6" t="s">
        <v>20</v>
      </c>
      <c r="H130" s="4" t="s">
        <v>19</v>
      </c>
      <c r="I130" s="7" t="s">
        <v>21</v>
      </c>
      <c r="J130" s="2" t="s">
        <v>22</v>
      </c>
      <c r="K130" s="2" t="s">
        <v>369</v>
      </c>
      <c r="L130" s="6" t="s">
        <v>24</v>
      </c>
      <c r="M130" s="8" t="s">
        <v>370</v>
      </c>
      <c r="N130" s="2" t="s">
        <v>22</v>
      </c>
      <c r="O130" s="6" t="s">
        <v>26</v>
      </c>
      <c r="P130" s="8" t="s">
        <v>27</v>
      </c>
      <c r="Q130" s="8" t="s">
        <v>371</v>
      </c>
    </row>
    <row r="131" customFormat="false" ht="23.85" hidden="false" customHeight="false" outlineLevel="0" collapsed="false">
      <c r="A131" s="2" t="s">
        <v>397</v>
      </c>
      <c r="B131" s="2" t="s">
        <v>398</v>
      </c>
      <c r="C131" s="3" t="n">
        <v>19.8117</v>
      </c>
      <c r="D131" s="3" t="n">
        <v>-155.4736</v>
      </c>
      <c r="E131" s="4" t="s">
        <v>19</v>
      </c>
      <c r="F131" s="5" t="n">
        <v>13020</v>
      </c>
      <c r="G131" s="11" t="s">
        <v>67</v>
      </c>
      <c r="H131" s="4" t="s">
        <v>19</v>
      </c>
      <c r="I131" s="13" t="s">
        <v>69</v>
      </c>
      <c r="J131" s="2" t="s">
        <v>70</v>
      </c>
      <c r="K131" s="2" t="s">
        <v>399</v>
      </c>
      <c r="L131" s="14" t="s">
        <v>72</v>
      </c>
      <c r="M131" s="8" t="s">
        <v>73</v>
      </c>
      <c r="N131" s="2" t="s">
        <v>70</v>
      </c>
      <c r="O131" s="14" t="s">
        <v>294</v>
      </c>
      <c r="P131" s="8" t="s">
        <v>295</v>
      </c>
      <c r="Q131" s="8" t="s">
        <v>400</v>
      </c>
    </row>
    <row r="132" customFormat="false" ht="23.85" hidden="false" customHeight="false" outlineLevel="0" collapsed="false">
      <c r="A132" s="2" t="s">
        <v>397</v>
      </c>
      <c r="B132" s="2" t="s">
        <v>401</v>
      </c>
      <c r="C132" s="3" t="n">
        <v>21.8639</v>
      </c>
      <c r="D132" s="3" t="n">
        <v>-160.1533</v>
      </c>
      <c r="E132" s="10" t="s">
        <v>49</v>
      </c>
      <c r="F132" s="5" t="n">
        <v>20</v>
      </c>
      <c r="G132" s="11" t="s">
        <v>67</v>
      </c>
      <c r="H132" s="12" t="s">
        <v>68</v>
      </c>
      <c r="I132" s="13" t="s">
        <v>69</v>
      </c>
      <c r="J132" s="2" t="s">
        <v>70</v>
      </c>
      <c r="K132" s="2" t="s">
        <v>402</v>
      </c>
      <c r="L132" s="14" t="s">
        <v>72</v>
      </c>
      <c r="M132" s="8" t="s">
        <v>73</v>
      </c>
      <c r="N132" s="2" t="s">
        <v>70</v>
      </c>
      <c r="O132" s="14" t="s">
        <v>294</v>
      </c>
      <c r="P132" s="8" t="s">
        <v>295</v>
      </c>
      <c r="Q132" s="8" t="s">
        <v>403</v>
      </c>
    </row>
    <row r="133" customFormat="false" ht="23.85" hidden="false" customHeight="false" outlineLevel="0" collapsed="false">
      <c r="A133" s="2" t="s">
        <v>397</v>
      </c>
      <c r="B133" s="2" t="s">
        <v>404</v>
      </c>
      <c r="C133" s="3" t="n">
        <v>21.3839</v>
      </c>
      <c r="D133" s="3" t="n">
        <v>-157.7361</v>
      </c>
      <c r="E133" s="10" t="s">
        <v>49</v>
      </c>
      <c r="F133" s="5" t="n">
        <v>3</v>
      </c>
      <c r="G133" s="11" t="s">
        <v>67</v>
      </c>
      <c r="H133" s="12" t="s">
        <v>68</v>
      </c>
      <c r="I133" s="13" t="s">
        <v>69</v>
      </c>
      <c r="J133" s="2" t="s">
        <v>70</v>
      </c>
      <c r="K133" s="2" t="s">
        <v>405</v>
      </c>
      <c r="L133" s="14" t="s">
        <v>72</v>
      </c>
      <c r="M133" s="8" t="s">
        <v>73</v>
      </c>
      <c r="N133" s="2" t="s">
        <v>70</v>
      </c>
      <c r="O133" s="14" t="s">
        <v>294</v>
      </c>
      <c r="P133" s="8" t="s">
        <v>295</v>
      </c>
      <c r="Q133" s="8" t="s">
        <v>406</v>
      </c>
    </row>
    <row r="134" customFormat="false" ht="23.85" hidden="false" customHeight="false" outlineLevel="0" collapsed="false">
      <c r="A134" s="2" t="s">
        <v>397</v>
      </c>
      <c r="B134" s="2" t="s">
        <v>407</v>
      </c>
      <c r="C134" s="3" t="n">
        <v>21.355</v>
      </c>
      <c r="D134" s="3" t="n">
        <v>-157.822</v>
      </c>
      <c r="E134" s="10" t="s">
        <v>49</v>
      </c>
      <c r="F134" s="5" t="n">
        <v>810</v>
      </c>
      <c r="G134" s="6" t="s">
        <v>20</v>
      </c>
      <c r="H134" s="12" t="s">
        <v>68</v>
      </c>
      <c r="I134" s="7" t="s">
        <v>21</v>
      </c>
      <c r="J134" s="2" t="s">
        <v>22</v>
      </c>
      <c r="K134" s="2" t="s">
        <v>408</v>
      </c>
      <c r="L134" s="14" t="s">
        <v>72</v>
      </c>
      <c r="M134" s="8" t="s">
        <v>73</v>
      </c>
      <c r="N134" s="2" t="s">
        <v>70</v>
      </c>
      <c r="O134" s="14" t="s">
        <v>294</v>
      </c>
      <c r="P134" s="8" t="s">
        <v>295</v>
      </c>
      <c r="Q134" s="8" t="s">
        <v>409</v>
      </c>
    </row>
    <row r="135" customFormat="false" ht="23.85" hidden="false" customHeight="false" outlineLevel="0" collapsed="false">
      <c r="A135" s="2" t="s">
        <v>397</v>
      </c>
      <c r="B135" s="2" t="s">
        <v>410</v>
      </c>
      <c r="C135" s="3" t="n">
        <v>21.93</v>
      </c>
      <c r="D135" s="3" t="n">
        <v>-159.455</v>
      </c>
      <c r="E135" s="10" t="s">
        <v>49</v>
      </c>
      <c r="F135" s="5" t="n">
        <v>220</v>
      </c>
      <c r="G135" s="6" t="s">
        <v>20</v>
      </c>
      <c r="H135" s="12" t="s">
        <v>68</v>
      </c>
      <c r="I135" s="7" t="s">
        <v>21</v>
      </c>
      <c r="J135" s="2" t="s">
        <v>22</v>
      </c>
      <c r="K135" s="2" t="s">
        <v>411</v>
      </c>
      <c r="L135" s="14" t="s">
        <v>72</v>
      </c>
      <c r="M135" s="8" t="s">
        <v>73</v>
      </c>
      <c r="N135" s="2" t="s">
        <v>70</v>
      </c>
      <c r="O135" s="14" t="s">
        <v>294</v>
      </c>
      <c r="P135" s="8" t="s">
        <v>295</v>
      </c>
      <c r="Q135" s="8" t="s">
        <v>412</v>
      </c>
    </row>
    <row r="136" customFormat="false" ht="23.85" hidden="false" customHeight="false" outlineLevel="0" collapsed="false">
      <c r="A136" s="2" t="s">
        <v>397</v>
      </c>
      <c r="B136" s="2" t="s">
        <v>413</v>
      </c>
      <c r="C136" s="3" t="n">
        <v>22.103</v>
      </c>
      <c r="D136" s="3" t="n">
        <v>-159.63</v>
      </c>
      <c r="E136" s="12" t="s">
        <v>68</v>
      </c>
      <c r="F136" s="5" t="n">
        <v>120</v>
      </c>
      <c r="G136" s="6" t="s">
        <v>20</v>
      </c>
      <c r="H136" s="12" t="s">
        <v>68</v>
      </c>
      <c r="I136" s="7" t="s">
        <v>21</v>
      </c>
      <c r="J136" s="2" t="s">
        <v>22</v>
      </c>
      <c r="K136" s="2" t="s">
        <v>414</v>
      </c>
      <c r="L136" s="14" t="s">
        <v>72</v>
      </c>
      <c r="M136" s="8" t="s">
        <v>73</v>
      </c>
      <c r="N136" s="2" t="s">
        <v>70</v>
      </c>
      <c r="O136" s="14" t="s">
        <v>294</v>
      </c>
      <c r="P136" s="8" t="s">
        <v>295</v>
      </c>
      <c r="Q136" s="8" t="s">
        <v>415</v>
      </c>
    </row>
    <row r="137" customFormat="false" ht="23.85" hidden="false" customHeight="false" outlineLevel="0" collapsed="false">
      <c r="A137" s="2" t="s">
        <v>397</v>
      </c>
      <c r="B137" s="2" t="s">
        <v>416</v>
      </c>
      <c r="C137" s="3" t="n">
        <v>19.7156</v>
      </c>
      <c r="D137" s="3" t="n">
        <v>-155.09</v>
      </c>
      <c r="E137" s="10" t="s">
        <v>49</v>
      </c>
      <c r="F137" s="5" t="n">
        <v>2</v>
      </c>
      <c r="G137" s="11" t="s">
        <v>67</v>
      </c>
      <c r="H137" s="12" t="s">
        <v>68</v>
      </c>
      <c r="I137" s="13" t="s">
        <v>69</v>
      </c>
      <c r="J137" s="2" t="s">
        <v>70</v>
      </c>
      <c r="K137" s="2" t="s">
        <v>417</v>
      </c>
      <c r="L137" s="14" t="s">
        <v>72</v>
      </c>
      <c r="M137" s="8" t="s">
        <v>73</v>
      </c>
      <c r="N137" s="2" t="s">
        <v>70</v>
      </c>
      <c r="O137" s="14" t="s">
        <v>294</v>
      </c>
      <c r="P137" s="8" t="s">
        <v>295</v>
      </c>
      <c r="Q137" s="8" t="s">
        <v>418</v>
      </c>
    </row>
    <row r="138" customFormat="false" ht="23.85" hidden="false" customHeight="false" outlineLevel="0" collapsed="false">
      <c r="A138" s="2" t="s">
        <v>397</v>
      </c>
      <c r="B138" s="2" t="s">
        <v>419</v>
      </c>
      <c r="C138" s="3" t="n">
        <v>21.392</v>
      </c>
      <c r="D138" s="3" t="n">
        <v>-157.808</v>
      </c>
      <c r="E138" s="10" t="s">
        <v>49</v>
      </c>
      <c r="F138" s="5" t="n">
        <v>200</v>
      </c>
      <c r="G138" s="6" t="s">
        <v>20</v>
      </c>
      <c r="H138" s="12" t="s">
        <v>68</v>
      </c>
      <c r="I138" s="7" t="s">
        <v>21</v>
      </c>
      <c r="J138" s="2" t="s">
        <v>22</v>
      </c>
      <c r="K138" s="2" t="s">
        <v>420</v>
      </c>
      <c r="L138" s="14" t="s">
        <v>72</v>
      </c>
      <c r="M138" s="8" t="s">
        <v>73</v>
      </c>
      <c r="N138" s="2" t="s">
        <v>70</v>
      </c>
      <c r="O138" s="14" t="s">
        <v>294</v>
      </c>
      <c r="P138" s="8" t="s">
        <v>295</v>
      </c>
      <c r="Q138" s="8" t="s">
        <v>421</v>
      </c>
    </row>
    <row r="139" customFormat="false" ht="23.85" hidden="false" customHeight="false" outlineLevel="0" collapsed="false">
      <c r="A139" s="2" t="s">
        <v>397</v>
      </c>
      <c r="B139" s="2" t="s">
        <v>422</v>
      </c>
      <c r="C139" s="3" t="n">
        <v>20.838</v>
      </c>
      <c r="D139" s="3" t="n">
        <v>-156.921</v>
      </c>
      <c r="E139" s="12" t="s">
        <v>68</v>
      </c>
      <c r="F139" s="5" t="n">
        <v>1620</v>
      </c>
      <c r="G139" s="6" t="s">
        <v>20</v>
      </c>
      <c r="H139" s="12" t="s">
        <v>68</v>
      </c>
      <c r="I139" s="7" t="s">
        <v>21</v>
      </c>
      <c r="J139" s="2" t="s">
        <v>22</v>
      </c>
      <c r="K139" s="2" t="s">
        <v>423</v>
      </c>
      <c r="L139" s="14" t="s">
        <v>72</v>
      </c>
      <c r="M139" s="8" t="s">
        <v>73</v>
      </c>
      <c r="N139" s="2" t="s">
        <v>70</v>
      </c>
      <c r="O139" s="14" t="s">
        <v>294</v>
      </c>
      <c r="P139" s="8" t="s">
        <v>295</v>
      </c>
      <c r="Q139" s="8" t="s">
        <v>424</v>
      </c>
    </row>
    <row r="140" customFormat="false" ht="23.85" hidden="false" customHeight="false" outlineLevel="0" collapsed="false">
      <c r="A140" s="2" t="s">
        <v>425</v>
      </c>
      <c r="B140" s="2" t="s">
        <v>426</v>
      </c>
      <c r="C140" s="3" t="n">
        <v>48.15</v>
      </c>
      <c r="D140" s="3" t="n">
        <v>-116.4</v>
      </c>
      <c r="E140" s="4" t="s">
        <v>19</v>
      </c>
      <c r="F140" s="5" t="n">
        <v>2062.5</v>
      </c>
      <c r="G140" s="6" t="s">
        <v>20</v>
      </c>
      <c r="H140" s="4" t="s">
        <v>19</v>
      </c>
      <c r="I140" s="13" t="s">
        <v>69</v>
      </c>
      <c r="J140" s="2" t="s">
        <v>70</v>
      </c>
      <c r="K140" s="2" t="s">
        <v>427</v>
      </c>
      <c r="L140" s="6" t="s">
        <v>24</v>
      </c>
      <c r="M140" s="8" t="s">
        <v>428</v>
      </c>
      <c r="N140" s="2" t="s">
        <v>22</v>
      </c>
      <c r="O140" s="6" t="s">
        <v>26</v>
      </c>
      <c r="P140" s="8" t="s">
        <v>27</v>
      </c>
      <c r="Q140" s="8" t="s">
        <v>429</v>
      </c>
    </row>
    <row r="141" customFormat="false" ht="23.85" hidden="false" customHeight="false" outlineLevel="0" collapsed="false">
      <c r="A141" s="2" t="s">
        <v>425</v>
      </c>
      <c r="B141" s="2" t="s">
        <v>430</v>
      </c>
      <c r="C141" s="3" t="n">
        <v>47.55</v>
      </c>
      <c r="D141" s="3" t="n">
        <v>-116.83</v>
      </c>
      <c r="E141" s="4" t="s">
        <v>19</v>
      </c>
      <c r="F141" s="5" t="n">
        <v>2128</v>
      </c>
      <c r="G141" s="6" t="s">
        <v>20</v>
      </c>
      <c r="H141" s="10" t="s">
        <v>49</v>
      </c>
      <c r="I141" s="13" t="s">
        <v>69</v>
      </c>
      <c r="J141" s="2" t="s">
        <v>70</v>
      </c>
      <c r="K141" s="2" t="s">
        <v>431</v>
      </c>
      <c r="L141" s="9" t="s">
        <v>36</v>
      </c>
      <c r="M141" s="8" t="s">
        <v>432</v>
      </c>
      <c r="N141" s="2" t="s">
        <v>22</v>
      </c>
      <c r="O141" s="6" t="s">
        <v>26</v>
      </c>
      <c r="P141" s="8" t="s">
        <v>27</v>
      </c>
      <c r="Q141" s="8" t="s">
        <v>433</v>
      </c>
    </row>
    <row r="142" customFormat="false" ht="23.85" hidden="false" customHeight="false" outlineLevel="0" collapsed="false">
      <c r="A142" s="2" t="s">
        <v>425</v>
      </c>
      <c r="B142" s="2" t="s">
        <v>434</v>
      </c>
      <c r="C142" s="3" t="n">
        <v>48.58</v>
      </c>
      <c r="D142" s="3" t="n">
        <v>-116.87</v>
      </c>
      <c r="E142" s="4" t="s">
        <v>19</v>
      </c>
      <c r="F142" s="5" t="n">
        <v>2438</v>
      </c>
      <c r="G142" s="6" t="s">
        <v>20</v>
      </c>
      <c r="H142" s="10" t="s">
        <v>49</v>
      </c>
      <c r="I142" s="13" t="s">
        <v>69</v>
      </c>
      <c r="J142" s="2" t="s">
        <v>70</v>
      </c>
      <c r="K142" s="2" t="s">
        <v>435</v>
      </c>
      <c r="L142" s="9" t="s">
        <v>36</v>
      </c>
      <c r="M142" s="8" t="s">
        <v>432</v>
      </c>
      <c r="N142" s="2" t="s">
        <v>41</v>
      </c>
      <c r="O142" s="9" t="s">
        <v>42</v>
      </c>
      <c r="P142" s="8" t="s">
        <v>43</v>
      </c>
      <c r="Q142" s="8" t="s">
        <v>436</v>
      </c>
    </row>
    <row r="143" customFormat="false" ht="23.85" hidden="false" customHeight="false" outlineLevel="0" collapsed="false">
      <c r="A143" s="2" t="s">
        <v>425</v>
      </c>
      <c r="B143" s="2" t="s">
        <v>437</v>
      </c>
      <c r="C143" s="3" t="n">
        <v>42</v>
      </c>
      <c r="D143" s="3" t="n">
        <v>-111.33</v>
      </c>
      <c r="E143" s="4" t="s">
        <v>19</v>
      </c>
      <c r="F143" s="5" t="n">
        <v>5923.65</v>
      </c>
      <c r="G143" s="6" t="s">
        <v>20</v>
      </c>
      <c r="H143" s="10" t="s">
        <v>49</v>
      </c>
      <c r="I143" s="13" t="s">
        <v>69</v>
      </c>
      <c r="J143" s="2" t="s">
        <v>70</v>
      </c>
      <c r="K143" s="2" t="s">
        <v>438</v>
      </c>
      <c r="L143" s="9" t="s">
        <v>36</v>
      </c>
      <c r="M143" s="8" t="s">
        <v>432</v>
      </c>
      <c r="N143" s="2" t="s">
        <v>22</v>
      </c>
      <c r="O143" s="6" t="s">
        <v>26</v>
      </c>
      <c r="P143" s="8" t="s">
        <v>27</v>
      </c>
      <c r="Q143" s="8" t="s">
        <v>439</v>
      </c>
    </row>
    <row r="144" customFormat="false" ht="23.85" hidden="false" customHeight="false" outlineLevel="0" collapsed="false">
      <c r="A144" s="2" t="s">
        <v>425</v>
      </c>
      <c r="B144" s="2" t="s">
        <v>440</v>
      </c>
      <c r="C144" s="3" t="n">
        <v>42.85</v>
      </c>
      <c r="D144" s="3" t="n">
        <v>-112.87</v>
      </c>
      <c r="E144" s="4" t="s">
        <v>19</v>
      </c>
      <c r="F144" s="5" t="n">
        <v>4354.5</v>
      </c>
      <c r="G144" s="6" t="s">
        <v>20</v>
      </c>
      <c r="H144" s="4" t="s">
        <v>19</v>
      </c>
      <c r="I144" s="7" t="s">
        <v>21</v>
      </c>
      <c r="J144" s="2" t="s">
        <v>22</v>
      </c>
      <c r="K144" s="2" t="s">
        <v>441</v>
      </c>
      <c r="L144" s="6" t="s">
        <v>24</v>
      </c>
      <c r="M144" s="8" t="s">
        <v>442</v>
      </c>
      <c r="N144" s="2" t="s">
        <v>22</v>
      </c>
      <c r="O144" s="6" t="s">
        <v>26</v>
      </c>
      <c r="P144" s="8" t="s">
        <v>27</v>
      </c>
      <c r="Q144" s="8" t="s">
        <v>443</v>
      </c>
    </row>
    <row r="145" customFormat="false" ht="23.85" hidden="false" customHeight="false" outlineLevel="0" collapsed="false">
      <c r="A145" s="2" t="s">
        <v>425</v>
      </c>
      <c r="B145" s="2" t="s">
        <v>444</v>
      </c>
      <c r="C145" s="3" t="n">
        <v>44.55</v>
      </c>
      <c r="D145" s="3" t="n">
        <v>-116.05</v>
      </c>
      <c r="E145" s="4" t="s">
        <v>19</v>
      </c>
      <c r="F145" s="5" t="n">
        <v>4828</v>
      </c>
      <c r="G145" s="6" t="s">
        <v>20</v>
      </c>
      <c r="H145" s="10" t="s">
        <v>49</v>
      </c>
      <c r="I145" s="7" t="s">
        <v>21</v>
      </c>
      <c r="J145" s="2" t="s">
        <v>22</v>
      </c>
      <c r="K145" s="2" t="s">
        <v>441</v>
      </c>
      <c r="L145" s="6" t="s">
        <v>24</v>
      </c>
      <c r="M145" s="8" t="s">
        <v>445</v>
      </c>
      <c r="N145" s="2" t="s">
        <v>22</v>
      </c>
      <c r="O145" s="6" t="s">
        <v>26</v>
      </c>
      <c r="P145" s="8" t="s">
        <v>27</v>
      </c>
      <c r="Q145" s="8" t="s">
        <v>446</v>
      </c>
    </row>
    <row r="146" customFormat="false" ht="23.85" hidden="false" customHeight="false" outlineLevel="0" collapsed="false">
      <c r="A146" s="2" t="s">
        <v>425</v>
      </c>
      <c r="B146" s="2" t="s">
        <v>447</v>
      </c>
      <c r="C146" s="3" t="n">
        <v>46.6</v>
      </c>
      <c r="D146" s="3" t="n">
        <v>-116.2</v>
      </c>
      <c r="E146" s="4" t="s">
        <v>19</v>
      </c>
      <c r="F146" s="5" t="n">
        <v>1600</v>
      </c>
      <c r="G146" s="6" t="s">
        <v>20</v>
      </c>
      <c r="H146" s="4" t="s">
        <v>19</v>
      </c>
      <c r="I146" s="7" t="s">
        <v>21</v>
      </c>
      <c r="J146" s="2" t="s">
        <v>22</v>
      </c>
      <c r="K146" s="2" t="s">
        <v>448</v>
      </c>
      <c r="L146" s="6" t="s">
        <v>24</v>
      </c>
      <c r="M146" s="8" t="s">
        <v>449</v>
      </c>
      <c r="N146" s="2" t="s">
        <v>22</v>
      </c>
      <c r="O146" s="6" t="s">
        <v>26</v>
      </c>
      <c r="P146" s="8" t="s">
        <v>27</v>
      </c>
      <c r="Q146" s="8" t="s">
        <v>450</v>
      </c>
    </row>
    <row r="147" customFormat="false" ht="23.85" hidden="false" customHeight="false" outlineLevel="0" collapsed="false">
      <c r="A147" s="2" t="s">
        <v>425</v>
      </c>
      <c r="B147" s="2" t="s">
        <v>451</v>
      </c>
      <c r="C147" s="3" t="n">
        <v>44.93</v>
      </c>
      <c r="D147" s="3" t="n">
        <v>-116.1</v>
      </c>
      <c r="E147" s="4" t="s">
        <v>19</v>
      </c>
      <c r="F147" s="5" t="n">
        <v>5000</v>
      </c>
      <c r="G147" s="6" t="s">
        <v>20</v>
      </c>
      <c r="H147" s="10" t="s">
        <v>49</v>
      </c>
      <c r="I147" s="13" t="s">
        <v>69</v>
      </c>
      <c r="J147" s="2" t="s">
        <v>70</v>
      </c>
      <c r="K147" s="2" t="s">
        <v>452</v>
      </c>
      <c r="L147" s="9" t="s">
        <v>36</v>
      </c>
      <c r="M147" s="8" t="s">
        <v>432</v>
      </c>
      <c r="N147" s="2" t="s">
        <v>41</v>
      </c>
      <c r="O147" s="9" t="s">
        <v>42</v>
      </c>
      <c r="P147" s="8" t="s">
        <v>43</v>
      </c>
      <c r="Q147" s="8" t="s">
        <v>453</v>
      </c>
    </row>
    <row r="148" customFormat="false" ht="23.85" hidden="false" customHeight="false" outlineLevel="0" collapsed="false">
      <c r="A148" s="2" t="s">
        <v>425</v>
      </c>
      <c r="B148" s="2" t="s">
        <v>454</v>
      </c>
      <c r="C148" s="3" t="n">
        <v>44.13</v>
      </c>
      <c r="D148" s="3" t="n">
        <v>-114.92</v>
      </c>
      <c r="E148" s="4" t="s">
        <v>19</v>
      </c>
      <c r="F148" s="5" t="n">
        <v>6547</v>
      </c>
      <c r="G148" s="11" t="s">
        <v>67</v>
      </c>
      <c r="H148" s="10" t="s">
        <v>49</v>
      </c>
      <c r="I148" s="13" t="s">
        <v>69</v>
      </c>
      <c r="J148" s="2" t="s">
        <v>70</v>
      </c>
      <c r="K148" s="2" t="s">
        <v>455</v>
      </c>
      <c r="L148" s="14" t="s">
        <v>72</v>
      </c>
      <c r="M148" s="8" t="s">
        <v>73</v>
      </c>
      <c r="N148" s="2" t="s">
        <v>70</v>
      </c>
      <c r="O148" s="9" t="s">
        <v>42</v>
      </c>
      <c r="P148" s="8" t="s">
        <v>43</v>
      </c>
      <c r="Q148" s="8" t="s">
        <v>281</v>
      </c>
    </row>
    <row r="149" customFormat="false" ht="23.85" hidden="false" customHeight="false" outlineLevel="0" collapsed="false">
      <c r="A149" s="2" t="s">
        <v>425</v>
      </c>
      <c r="B149" s="2" t="s">
        <v>456</v>
      </c>
      <c r="C149" s="3" t="n">
        <v>43.53</v>
      </c>
      <c r="D149" s="3" t="n">
        <v>-116.05</v>
      </c>
      <c r="E149" s="4" t="s">
        <v>19</v>
      </c>
      <c r="F149" s="5" t="n">
        <v>3060</v>
      </c>
      <c r="G149" s="6" t="s">
        <v>20</v>
      </c>
      <c r="H149" s="4" t="s">
        <v>19</v>
      </c>
      <c r="I149" s="7" t="s">
        <v>21</v>
      </c>
      <c r="J149" s="2" t="s">
        <v>22</v>
      </c>
      <c r="K149" s="2" t="s">
        <v>448</v>
      </c>
      <c r="L149" s="6" t="s">
        <v>24</v>
      </c>
      <c r="M149" s="8" t="s">
        <v>457</v>
      </c>
      <c r="N149" s="2" t="s">
        <v>22</v>
      </c>
      <c r="O149" s="6" t="s">
        <v>26</v>
      </c>
      <c r="P149" s="8" t="s">
        <v>27</v>
      </c>
      <c r="Q149" s="8" t="s">
        <v>458</v>
      </c>
    </row>
    <row r="150" customFormat="false" ht="23.85" hidden="false" customHeight="false" outlineLevel="0" collapsed="false">
      <c r="A150" s="2" t="s">
        <v>425</v>
      </c>
      <c r="B150" s="2" t="s">
        <v>459</v>
      </c>
      <c r="C150" s="3" t="n">
        <v>44.63</v>
      </c>
      <c r="D150" s="3" t="n">
        <v>-111.38</v>
      </c>
      <c r="E150" s="4" t="s">
        <v>19</v>
      </c>
      <c r="F150" s="5" t="n">
        <v>6472</v>
      </c>
      <c r="G150" s="6" t="s">
        <v>20</v>
      </c>
      <c r="H150" s="10" t="s">
        <v>49</v>
      </c>
      <c r="I150" s="13" t="s">
        <v>69</v>
      </c>
      <c r="J150" s="2" t="s">
        <v>70</v>
      </c>
      <c r="K150" s="2" t="s">
        <v>460</v>
      </c>
      <c r="L150" s="9" t="s">
        <v>36</v>
      </c>
      <c r="M150" s="8" t="s">
        <v>432</v>
      </c>
      <c r="N150" s="2" t="s">
        <v>41</v>
      </c>
      <c r="O150" s="9" t="s">
        <v>42</v>
      </c>
      <c r="P150" s="8" t="s">
        <v>43</v>
      </c>
      <c r="Q150" s="8" t="s">
        <v>461</v>
      </c>
    </row>
    <row r="151" customFormat="false" ht="23.85" hidden="false" customHeight="false" outlineLevel="0" collapsed="false">
      <c r="A151" s="2" t="s">
        <v>425</v>
      </c>
      <c r="B151" s="2" t="s">
        <v>462</v>
      </c>
      <c r="C151" s="3" t="n">
        <v>43.4</v>
      </c>
      <c r="D151" s="3" t="n">
        <v>-111.2</v>
      </c>
      <c r="E151" s="4" t="s">
        <v>19</v>
      </c>
      <c r="F151" s="5" t="n">
        <v>5620.5</v>
      </c>
      <c r="G151" s="6" t="s">
        <v>20</v>
      </c>
      <c r="H151" s="4" t="s">
        <v>19</v>
      </c>
      <c r="I151" s="7" t="s">
        <v>21</v>
      </c>
      <c r="J151" s="2" t="s">
        <v>22</v>
      </c>
      <c r="K151" s="2" t="s">
        <v>441</v>
      </c>
      <c r="L151" s="6" t="s">
        <v>24</v>
      </c>
      <c r="M151" s="8" t="s">
        <v>442</v>
      </c>
      <c r="N151" s="2" t="s">
        <v>22</v>
      </c>
      <c r="O151" s="6" t="s">
        <v>26</v>
      </c>
      <c r="P151" s="8" t="s">
        <v>27</v>
      </c>
      <c r="Q151" s="8" t="s">
        <v>463</v>
      </c>
    </row>
    <row r="152" customFormat="false" ht="23.85" hidden="false" customHeight="false" outlineLevel="0" collapsed="false">
      <c r="A152" s="2" t="s">
        <v>425</v>
      </c>
      <c r="B152" s="2" t="s">
        <v>464</v>
      </c>
      <c r="C152" s="3" t="n">
        <v>43.35</v>
      </c>
      <c r="D152" s="3" t="n">
        <v>-115.45</v>
      </c>
      <c r="E152" s="4" t="s">
        <v>19</v>
      </c>
      <c r="F152" s="5" t="n">
        <v>4196</v>
      </c>
      <c r="G152" s="6" t="s">
        <v>20</v>
      </c>
      <c r="H152" s="10" t="s">
        <v>49</v>
      </c>
      <c r="I152" s="7" t="s">
        <v>21</v>
      </c>
      <c r="J152" s="2" t="s">
        <v>22</v>
      </c>
      <c r="K152" s="2" t="s">
        <v>441</v>
      </c>
      <c r="L152" s="6" t="s">
        <v>24</v>
      </c>
      <c r="M152" s="8" t="s">
        <v>445</v>
      </c>
      <c r="N152" s="2" t="s">
        <v>22</v>
      </c>
      <c r="O152" s="6" t="s">
        <v>26</v>
      </c>
      <c r="P152" s="8" t="s">
        <v>27</v>
      </c>
      <c r="Q152" s="8" t="s">
        <v>465</v>
      </c>
    </row>
    <row r="153" customFormat="false" ht="23.85" hidden="false" customHeight="false" outlineLevel="0" collapsed="false">
      <c r="A153" s="2" t="s">
        <v>425</v>
      </c>
      <c r="B153" s="2" t="s">
        <v>466</v>
      </c>
      <c r="C153" s="3" t="n">
        <v>42.95</v>
      </c>
      <c r="D153" s="3" t="n">
        <v>-115.98</v>
      </c>
      <c r="E153" s="4" t="s">
        <v>19</v>
      </c>
      <c r="F153" s="5" t="n">
        <v>2455</v>
      </c>
      <c r="G153" s="6" t="s">
        <v>20</v>
      </c>
      <c r="H153" s="10" t="s">
        <v>49</v>
      </c>
      <c r="I153" s="7" t="s">
        <v>21</v>
      </c>
      <c r="J153" s="2" t="s">
        <v>22</v>
      </c>
      <c r="K153" s="2" t="s">
        <v>467</v>
      </c>
      <c r="L153" s="9" t="s">
        <v>36</v>
      </c>
      <c r="M153" s="8" t="s">
        <v>468</v>
      </c>
      <c r="N153" s="2" t="s">
        <v>22</v>
      </c>
      <c r="O153" s="6" t="s">
        <v>26</v>
      </c>
      <c r="P153" s="8" t="s">
        <v>27</v>
      </c>
      <c r="Q153" s="8" t="s">
        <v>469</v>
      </c>
    </row>
    <row r="154" customFormat="false" ht="23.85" hidden="false" customHeight="false" outlineLevel="0" collapsed="false">
      <c r="A154" s="2" t="s">
        <v>470</v>
      </c>
      <c r="B154" s="2" t="s">
        <v>471</v>
      </c>
      <c r="C154" s="3" t="n">
        <v>42</v>
      </c>
      <c r="D154" s="3" t="n">
        <v>-87.4</v>
      </c>
      <c r="E154" s="4" t="s">
        <v>19</v>
      </c>
      <c r="F154" s="5" t="n">
        <v>579</v>
      </c>
      <c r="G154" s="11" t="s">
        <v>67</v>
      </c>
      <c r="H154" s="4" t="s">
        <v>19</v>
      </c>
      <c r="I154" s="13" t="s">
        <v>69</v>
      </c>
      <c r="J154" s="2" t="s">
        <v>70</v>
      </c>
      <c r="K154" s="2" t="s">
        <v>472</v>
      </c>
      <c r="L154" s="6" t="s">
        <v>24</v>
      </c>
      <c r="M154" s="8" t="s">
        <v>473</v>
      </c>
      <c r="N154" s="2" t="s">
        <v>22</v>
      </c>
      <c r="O154" s="15" t="s">
        <v>104</v>
      </c>
      <c r="P154" s="8" t="s">
        <v>474</v>
      </c>
      <c r="Q154" s="8" t="s">
        <v>475</v>
      </c>
    </row>
    <row r="155" customFormat="false" ht="23.85" hidden="false" customHeight="false" outlineLevel="0" collapsed="false">
      <c r="A155" s="2" t="s">
        <v>470</v>
      </c>
      <c r="B155" s="2" t="s">
        <v>476</v>
      </c>
      <c r="C155" s="3" t="n">
        <v>38.65</v>
      </c>
      <c r="D155" s="3" t="n">
        <v>-89.35</v>
      </c>
      <c r="E155" s="4" t="s">
        <v>19</v>
      </c>
      <c r="F155" s="5" t="n">
        <v>445</v>
      </c>
      <c r="G155" s="6" t="s">
        <v>20</v>
      </c>
      <c r="H155" s="4" t="s">
        <v>19</v>
      </c>
      <c r="I155" s="7" t="s">
        <v>21</v>
      </c>
      <c r="J155" s="2" t="s">
        <v>22</v>
      </c>
      <c r="K155" s="2" t="s">
        <v>477</v>
      </c>
      <c r="L155" s="6" t="s">
        <v>24</v>
      </c>
      <c r="M155" s="8" t="s">
        <v>478</v>
      </c>
      <c r="N155" s="2" t="s">
        <v>22</v>
      </c>
      <c r="O155" s="6" t="s">
        <v>26</v>
      </c>
      <c r="P155" s="8" t="s">
        <v>27</v>
      </c>
      <c r="Q155" s="8" t="s">
        <v>479</v>
      </c>
    </row>
    <row r="156" customFormat="false" ht="23.85" hidden="false" customHeight="false" outlineLevel="0" collapsed="false">
      <c r="A156" s="2" t="s">
        <v>470</v>
      </c>
      <c r="B156" s="2" t="s">
        <v>480</v>
      </c>
      <c r="C156" s="3" t="n">
        <v>38.05</v>
      </c>
      <c r="D156" s="3" t="n">
        <v>-88.95</v>
      </c>
      <c r="E156" s="4" t="s">
        <v>19</v>
      </c>
      <c r="F156" s="5" t="n">
        <v>405</v>
      </c>
      <c r="G156" s="6" t="s">
        <v>20</v>
      </c>
      <c r="H156" s="4" t="s">
        <v>19</v>
      </c>
      <c r="I156" s="7" t="s">
        <v>21</v>
      </c>
      <c r="J156" s="2" t="s">
        <v>22</v>
      </c>
      <c r="K156" s="2" t="s">
        <v>477</v>
      </c>
      <c r="L156" s="6" t="s">
        <v>24</v>
      </c>
      <c r="M156" s="8" t="s">
        <v>478</v>
      </c>
      <c r="N156" s="2" t="s">
        <v>22</v>
      </c>
      <c r="O156" s="6" t="s">
        <v>26</v>
      </c>
      <c r="P156" s="8" t="s">
        <v>27</v>
      </c>
      <c r="Q156" s="8" t="s">
        <v>481</v>
      </c>
    </row>
    <row r="157" customFormat="false" ht="23.85" hidden="false" customHeight="false" outlineLevel="0" collapsed="false">
      <c r="A157" s="2" t="s">
        <v>470</v>
      </c>
      <c r="B157" s="2" t="s">
        <v>482</v>
      </c>
      <c r="C157" s="3" t="n">
        <v>39.45</v>
      </c>
      <c r="D157" s="3" t="n">
        <v>-88.75</v>
      </c>
      <c r="E157" s="4" t="s">
        <v>19</v>
      </c>
      <c r="F157" s="5" t="n">
        <v>599.7</v>
      </c>
      <c r="G157" s="6" t="s">
        <v>20</v>
      </c>
      <c r="H157" s="4" t="s">
        <v>19</v>
      </c>
      <c r="I157" s="7" t="s">
        <v>21</v>
      </c>
      <c r="J157" s="2" t="s">
        <v>22</v>
      </c>
      <c r="K157" s="2" t="s">
        <v>477</v>
      </c>
      <c r="L157" s="6" t="s">
        <v>24</v>
      </c>
      <c r="M157" s="8" t="s">
        <v>478</v>
      </c>
      <c r="N157" s="2" t="s">
        <v>22</v>
      </c>
      <c r="O157" s="6" t="s">
        <v>26</v>
      </c>
      <c r="P157" s="8" t="s">
        <v>27</v>
      </c>
      <c r="Q157" s="8" t="s">
        <v>479</v>
      </c>
    </row>
    <row r="158" customFormat="false" ht="23.85" hidden="false" customHeight="false" outlineLevel="0" collapsed="false">
      <c r="A158" s="2" t="s">
        <v>470</v>
      </c>
      <c r="B158" s="2" t="s">
        <v>483</v>
      </c>
      <c r="C158" s="3" t="n">
        <v>37.72</v>
      </c>
      <c r="D158" s="3" t="n">
        <v>-89.05</v>
      </c>
      <c r="E158" s="4" t="s">
        <v>19</v>
      </c>
      <c r="F158" s="5" t="n">
        <v>405</v>
      </c>
      <c r="G158" s="6" t="s">
        <v>20</v>
      </c>
      <c r="H158" s="10" t="s">
        <v>49</v>
      </c>
      <c r="I158" s="7" t="s">
        <v>21</v>
      </c>
      <c r="J158" s="2" t="s">
        <v>22</v>
      </c>
      <c r="K158" s="2" t="s">
        <v>484</v>
      </c>
      <c r="L158" s="9" t="s">
        <v>36</v>
      </c>
      <c r="M158" s="8" t="s">
        <v>432</v>
      </c>
      <c r="N158" s="2" t="s">
        <v>41</v>
      </c>
      <c r="O158" s="9" t="s">
        <v>42</v>
      </c>
      <c r="P158" s="8" t="s">
        <v>43</v>
      </c>
      <c r="Q158" s="8" t="s">
        <v>485</v>
      </c>
    </row>
    <row r="159" customFormat="false" ht="23.85" hidden="false" customHeight="false" outlineLevel="0" collapsed="false">
      <c r="A159" s="2" t="s">
        <v>470</v>
      </c>
      <c r="B159" s="2" t="s">
        <v>486</v>
      </c>
      <c r="C159" s="3" t="n">
        <v>37.6</v>
      </c>
      <c r="D159" s="3" t="n">
        <v>-88.97</v>
      </c>
      <c r="E159" s="4" t="s">
        <v>19</v>
      </c>
      <c r="F159" s="5" t="n">
        <v>495</v>
      </c>
      <c r="G159" s="6" t="s">
        <v>20</v>
      </c>
      <c r="H159" s="10" t="s">
        <v>49</v>
      </c>
      <c r="I159" s="7" t="s">
        <v>21</v>
      </c>
      <c r="J159" s="2" t="s">
        <v>22</v>
      </c>
      <c r="K159" s="2" t="s">
        <v>487</v>
      </c>
      <c r="L159" s="14" t="s">
        <v>72</v>
      </c>
      <c r="M159" s="8" t="s">
        <v>73</v>
      </c>
      <c r="N159" s="2" t="s">
        <v>70</v>
      </c>
      <c r="O159" s="9" t="s">
        <v>42</v>
      </c>
      <c r="P159" s="8" t="s">
        <v>43</v>
      </c>
      <c r="Q159" s="8" t="s">
        <v>488</v>
      </c>
    </row>
    <row r="160" customFormat="false" ht="23.85" hidden="false" customHeight="false" outlineLevel="0" collapsed="false">
      <c r="A160" s="2" t="s">
        <v>470</v>
      </c>
      <c r="B160" s="2" t="s">
        <v>489</v>
      </c>
      <c r="C160" s="3" t="n">
        <v>42.46</v>
      </c>
      <c r="D160" s="3" t="n">
        <v>-88.15</v>
      </c>
      <c r="E160" s="4" t="s">
        <v>19</v>
      </c>
      <c r="F160" s="5" t="n">
        <v>737</v>
      </c>
      <c r="G160" s="11" t="s">
        <v>67</v>
      </c>
      <c r="H160" s="10" t="s">
        <v>49</v>
      </c>
      <c r="I160" s="13" t="s">
        <v>69</v>
      </c>
      <c r="J160" s="2" t="s">
        <v>70</v>
      </c>
      <c r="K160" s="2" t="s">
        <v>490</v>
      </c>
      <c r="L160" s="9" t="s">
        <v>36</v>
      </c>
      <c r="M160" s="8" t="s">
        <v>491</v>
      </c>
      <c r="N160" s="2" t="s">
        <v>22</v>
      </c>
      <c r="O160" s="6" t="s">
        <v>26</v>
      </c>
      <c r="P160" s="8" t="s">
        <v>27</v>
      </c>
      <c r="Q160" s="8" t="s">
        <v>492</v>
      </c>
    </row>
    <row r="161" customFormat="false" ht="23.85" hidden="false" customHeight="false" outlineLevel="0" collapsed="false">
      <c r="A161" s="2" t="s">
        <v>470</v>
      </c>
      <c r="B161" s="2" t="s">
        <v>493</v>
      </c>
      <c r="C161" s="3" t="n">
        <v>42.4</v>
      </c>
      <c r="D161" s="3" t="n">
        <v>-88.18</v>
      </c>
      <c r="E161" s="4" t="s">
        <v>19</v>
      </c>
      <c r="F161" s="5" t="n">
        <v>737</v>
      </c>
      <c r="G161" s="11" t="s">
        <v>67</v>
      </c>
      <c r="H161" s="10" t="s">
        <v>49</v>
      </c>
      <c r="I161" s="13" t="s">
        <v>69</v>
      </c>
      <c r="J161" s="2" t="s">
        <v>70</v>
      </c>
      <c r="K161" s="2" t="s">
        <v>494</v>
      </c>
      <c r="L161" s="9" t="s">
        <v>36</v>
      </c>
      <c r="M161" s="8" t="s">
        <v>432</v>
      </c>
      <c r="N161" s="2" t="s">
        <v>22</v>
      </c>
      <c r="O161" s="6" t="s">
        <v>26</v>
      </c>
      <c r="P161" s="8" t="s">
        <v>27</v>
      </c>
      <c r="Q161" s="8" t="s">
        <v>495</v>
      </c>
    </row>
    <row r="162" customFormat="false" ht="23.85" hidden="false" customHeight="false" outlineLevel="0" collapsed="false">
      <c r="A162" s="2" t="s">
        <v>470</v>
      </c>
      <c r="B162" s="2" t="s">
        <v>496</v>
      </c>
      <c r="C162" s="3" t="n">
        <v>39.72</v>
      </c>
      <c r="D162" s="3" t="n">
        <v>-89.6</v>
      </c>
      <c r="E162" s="4" t="s">
        <v>19</v>
      </c>
      <c r="F162" s="5" t="n">
        <v>560</v>
      </c>
      <c r="G162" s="6" t="s">
        <v>20</v>
      </c>
      <c r="H162" s="10" t="s">
        <v>49</v>
      </c>
      <c r="I162" s="7" t="s">
        <v>21</v>
      </c>
      <c r="J162" s="2" t="s">
        <v>22</v>
      </c>
      <c r="K162" s="2" t="s">
        <v>497</v>
      </c>
      <c r="L162" s="14" t="s">
        <v>72</v>
      </c>
      <c r="M162" s="8" t="s">
        <v>73</v>
      </c>
      <c r="N162" s="2" t="s">
        <v>41</v>
      </c>
      <c r="O162" s="9" t="s">
        <v>42</v>
      </c>
      <c r="P162" s="8" t="s">
        <v>43</v>
      </c>
      <c r="Q162" s="8" t="s">
        <v>498</v>
      </c>
    </row>
    <row r="163" customFormat="false" ht="23.85" hidden="false" customHeight="false" outlineLevel="0" collapsed="false">
      <c r="A163" s="2" t="s">
        <v>470</v>
      </c>
      <c r="B163" s="2" t="s">
        <v>499</v>
      </c>
      <c r="C163" s="3" t="n">
        <v>40.17</v>
      </c>
      <c r="D163" s="3" t="n">
        <v>-88.83</v>
      </c>
      <c r="E163" s="4" t="s">
        <v>19</v>
      </c>
      <c r="F163" s="5" t="n">
        <v>690</v>
      </c>
      <c r="G163" s="6" t="s">
        <v>20</v>
      </c>
      <c r="H163" s="10" t="s">
        <v>49</v>
      </c>
      <c r="I163" s="7" t="s">
        <v>21</v>
      </c>
      <c r="J163" s="2" t="s">
        <v>22</v>
      </c>
      <c r="K163" s="2" t="s">
        <v>500</v>
      </c>
      <c r="L163" s="14" t="s">
        <v>72</v>
      </c>
      <c r="M163" s="8" t="s">
        <v>73</v>
      </c>
      <c r="N163" s="2" t="s">
        <v>41</v>
      </c>
      <c r="O163" s="9" t="s">
        <v>42</v>
      </c>
      <c r="P163" s="8" t="s">
        <v>43</v>
      </c>
      <c r="Q163" s="8" t="s">
        <v>501</v>
      </c>
    </row>
    <row r="164" customFormat="false" ht="23.85" hidden="false" customHeight="false" outlineLevel="0" collapsed="false">
      <c r="A164" s="2" t="s">
        <v>470</v>
      </c>
      <c r="B164" s="2" t="s">
        <v>502</v>
      </c>
      <c r="C164" s="3" t="n">
        <v>37.66</v>
      </c>
      <c r="D164" s="3" t="n">
        <v>-89.1</v>
      </c>
      <c r="E164" s="4" t="s">
        <v>19</v>
      </c>
      <c r="F164" s="5" t="n">
        <v>540</v>
      </c>
      <c r="G164" s="6" t="s">
        <v>20</v>
      </c>
      <c r="H164" s="12" t="s">
        <v>68</v>
      </c>
      <c r="I164" s="7" t="s">
        <v>21</v>
      </c>
      <c r="J164" s="2" t="s">
        <v>22</v>
      </c>
      <c r="K164" s="2" t="s">
        <v>484</v>
      </c>
      <c r="L164" s="14" t="s">
        <v>72</v>
      </c>
      <c r="M164" s="8" t="s">
        <v>73</v>
      </c>
      <c r="N164" s="2" t="s">
        <v>70</v>
      </c>
      <c r="O164" s="9" t="s">
        <v>42</v>
      </c>
      <c r="P164" s="8" t="s">
        <v>43</v>
      </c>
      <c r="Q164" s="8" t="s">
        <v>485</v>
      </c>
    </row>
    <row r="165" customFormat="false" ht="23.85" hidden="false" customHeight="false" outlineLevel="0" collapsed="false">
      <c r="A165" s="2" t="s">
        <v>470</v>
      </c>
      <c r="B165" s="2" t="s">
        <v>503</v>
      </c>
      <c r="C165" s="3" t="n">
        <v>40.48</v>
      </c>
      <c r="D165" s="3" t="n">
        <v>-89.92</v>
      </c>
      <c r="E165" s="10" t="s">
        <v>49</v>
      </c>
      <c r="F165" s="5" t="n">
        <v>440</v>
      </c>
      <c r="G165" s="11" t="s">
        <v>67</v>
      </c>
      <c r="H165" s="12" t="s">
        <v>68</v>
      </c>
      <c r="I165" s="13" t="s">
        <v>69</v>
      </c>
      <c r="J165" s="2" t="s">
        <v>70</v>
      </c>
      <c r="K165" s="2" t="s">
        <v>504</v>
      </c>
      <c r="L165" s="9" t="s">
        <v>36</v>
      </c>
      <c r="M165" s="8" t="s">
        <v>505</v>
      </c>
      <c r="N165" s="2" t="s">
        <v>41</v>
      </c>
      <c r="O165" s="9" t="s">
        <v>42</v>
      </c>
      <c r="P165" s="8" t="s">
        <v>43</v>
      </c>
      <c r="Q165" s="8" t="s">
        <v>506</v>
      </c>
    </row>
    <row r="166" customFormat="false" ht="23.85" hidden="false" customHeight="false" outlineLevel="0" collapsed="false">
      <c r="A166" s="2" t="s">
        <v>470</v>
      </c>
      <c r="B166" s="2" t="s">
        <v>507</v>
      </c>
      <c r="C166" s="3" t="n">
        <v>39.62</v>
      </c>
      <c r="D166" s="3" t="n">
        <v>-89.47</v>
      </c>
      <c r="E166" s="4" t="s">
        <v>19</v>
      </c>
      <c r="F166" s="5" t="n">
        <v>570</v>
      </c>
      <c r="G166" s="6" t="s">
        <v>20</v>
      </c>
      <c r="H166" s="12" t="s">
        <v>68</v>
      </c>
      <c r="I166" s="7" t="s">
        <v>21</v>
      </c>
      <c r="J166" s="2" t="s">
        <v>22</v>
      </c>
      <c r="K166" s="2" t="s">
        <v>508</v>
      </c>
      <c r="L166" s="14" t="s">
        <v>72</v>
      </c>
      <c r="M166" s="8" t="s">
        <v>73</v>
      </c>
      <c r="N166" s="2" t="s">
        <v>41</v>
      </c>
      <c r="O166" s="9" t="s">
        <v>42</v>
      </c>
      <c r="P166" s="8" t="s">
        <v>43</v>
      </c>
      <c r="Q166" s="8" t="s">
        <v>501</v>
      </c>
    </row>
    <row r="167" customFormat="false" ht="23.85" hidden="false" customHeight="false" outlineLevel="0" collapsed="false">
      <c r="A167" s="2" t="s">
        <v>509</v>
      </c>
      <c r="B167" s="2" t="s">
        <v>471</v>
      </c>
      <c r="C167" s="3" t="n">
        <v>41.7</v>
      </c>
      <c r="D167" s="3" t="n">
        <v>-87.2</v>
      </c>
      <c r="E167" s="4" t="s">
        <v>19</v>
      </c>
      <c r="F167" s="5" t="n">
        <v>579</v>
      </c>
      <c r="G167" s="11" t="s">
        <v>67</v>
      </c>
      <c r="H167" s="4" t="s">
        <v>19</v>
      </c>
      <c r="I167" s="13" t="s">
        <v>69</v>
      </c>
      <c r="J167" s="2" t="s">
        <v>70</v>
      </c>
      <c r="K167" s="2" t="s">
        <v>472</v>
      </c>
      <c r="L167" s="6" t="s">
        <v>24</v>
      </c>
      <c r="M167" s="8" t="s">
        <v>473</v>
      </c>
      <c r="N167" s="2" t="s">
        <v>22</v>
      </c>
      <c r="O167" s="15" t="s">
        <v>104</v>
      </c>
      <c r="P167" s="8" t="s">
        <v>474</v>
      </c>
      <c r="Q167" s="8" t="s">
        <v>475</v>
      </c>
    </row>
    <row r="168" customFormat="false" ht="23.85" hidden="false" customHeight="false" outlineLevel="0" collapsed="false">
      <c r="A168" s="2" t="s">
        <v>509</v>
      </c>
      <c r="B168" s="2" t="s">
        <v>510</v>
      </c>
      <c r="C168" s="3" t="n">
        <v>41.4</v>
      </c>
      <c r="D168" s="3" t="n">
        <v>-85.72</v>
      </c>
      <c r="E168" s="4" t="s">
        <v>19</v>
      </c>
      <c r="F168" s="5" t="n">
        <v>858</v>
      </c>
      <c r="G168" s="11" t="s">
        <v>67</v>
      </c>
      <c r="H168" s="10" t="s">
        <v>49</v>
      </c>
      <c r="I168" s="13" t="s">
        <v>69</v>
      </c>
      <c r="J168" s="2" t="s">
        <v>70</v>
      </c>
      <c r="K168" s="2" t="s">
        <v>511</v>
      </c>
      <c r="L168" s="14" t="s">
        <v>72</v>
      </c>
      <c r="M168" s="8" t="s">
        <v>73</v>
      </c>
      <c r="N168" s="2" t="s">
        <v>70</v>
      </c>
      <c r="O168" s="9" t="s">
        <v>42</v>
      </c>
      <c r="P168" s="8" t="s">
        <v>43</v>
      </c>
      <c r="Q168" s="8" t="s">
        <v>512</v>
      </c>
    </row>
    <row r="169" customFormat="false" ht="23.85" hidden="false" customHeight="false" outlineLevel="0" collapsed="false">
      <c r="A169" s="2" t="s">
        <v>509</v>
      </c>
      <c r="B169" s="2" t="s">
        <v>513</v>
      </c>
      <c r="C169" s="3" t="n">
        <v>39.05</v>
      </c>
      <c r="D169" s="3" t="n">
        <v>-86.42</v>
      </c>
      <c r="E169" s="4" t="s">
        <v>19</v>
      </c>
      <c r="F169" s="5" t="n">
        <v>538</v>
      </c>
      <c r="G169" s="6" t="s">
        <v>20</v>
      </c>
      <c r="H169" s="4" t="s">
        <v>19</v>
      </c>
      <c r="I169" s="7" t="s">
        <v>21</v>
      </c>
      <c r="J169" s="2" t="s">
        <v>22</v>
      </c>
      <c r="K169" s="2" t="s">
        <v>514</v>
      </c>
      <c r="L169" s="6" t="s">
        <v>24</v>
      </c>
      <c r="M169" s="8" t="s">
        <v>515</v>
      </c>
      <c r="N169" s="2" t="s">
        <v>22</v>
      </c>
      <c r="O169" s="6" t="s">
        <v>26</v>
      </c>
      <c r="P169" s="8" t="s">
        <v>27</v>
      </c>
      <c r="Q169" s="8" t="s">
        <v>516</v>
      </c>
    </row>
    <row r="170" customFormat="false" ht="23.85" hidden="false" customHeight="false" outlineLevel="0" collapsed="false">
      <c r="A170" s="2" t="s">
        <v>509</v>
      </c>
      <c r="B170" s="2" t="s">
        <v>517</v>
      </c>
      <c r="C170" s="3" t="n">
        <v>38.42</v>
      </c>
      <c r="D170" s="3" t="n">
        <v>-86.65</v>
      </c>
      <c r="E170" s="4" t="s">
        <v>19</v>
      </c>
      <c r="F170" s="5" t="n">
        <v>536</v>
      </c>
      <c r="G170" s="6" t="s">
        <v>20</v>
      </c>
      <c r="H170" s="10" t="s">
        <v>49</v>
      </c>
      <c r="I170" s="7" t="s">
        <v>21</v>
      </c>
      <c r="J170" s="2" t="s">
        <v>22</v>
      </c>
      <c r="K170" s="2" t="s">
        <v>514</v>
      </c>
      <c r="L170" s="6" t="s">
        <v>24</v>
      </c>
      <c r="M170" s="8" t="s">
        <v>515</v>
      </c>
      <c r="N170" s="2" t="s">
        <v>22</v>
      </c>
      <c r="O170" s="6" t="s">
        <v>26</v>
      </c>
      <c r="P170" s="8" t="s">
        <v>27</v>
      </c>
      <c r="Q170" s="8" t="s">
        <v>518</v>
      </c>
    </row>
    <row r="171" customFormat="false" ht="23.85" hidden="false" customHeight="false" outlineLevel="0" collapsed="false">
      <c r="A171" s="2" t="s">
        <v>509</v>
      </c>
      <c r="B171" s="2" t="s">
        <v>519</v>
      </c>
      <c r="C171" s="3" t="n">
        <v>40.75</v>
      </c>
      <c r="D171" s="3" t="n">
        <v>-86.75</v>
      </c>
      <c r="E171" s="4" t="s">
        <v>19</v>
      </c>
      <c r="F171" s="5" t="n">
        <v>611</v>
      </c>
      <c r="G171" s="6" t="s">
        <v>20</v>
      </c>
      <c r="H171" s="10" t="s">
        <v>49</v>
      </c>
      <c r="I171" s="7" t="s">
        <v>21</v>
      </c>
      <c r="J171" s="2" t="s">
        <v>22</v>
      </c>
      <c r="K171" s="2" t="s">
        <v>520</v>
      </c>
      <c r="L171" s="9" t="s">
        <v>36</v>
      </c>
      <c r="M171" s="8" t="s">
        <v>521</v>
      </c>
      <c r="N171" s="2" t="s">
        <v>22</v>
      </c>
      <c r="O171" s="6" t="s">
        <v>26</v>
      </c>
      <c r="P171" s="8" t="s">
        <v>27</v>
      </c>
      <c r="Q171" s="8" t="s">
        <v>522</v>
      </c>
    </row>
    <row r="172" customFormat="false" ht="23.85" hidden="false" customHeight="false" outlineLevel="0" collapsed="false">
      <c r="A172" s="2" t="s">
        <v>509</v>
      </c>
      <c r="B172" s="2" t="s">
        <v>523</v>
      </c>
      <c r="C172" s="3" t="n">
        <v>40.8</v>
      </c>
      <c r="D172" s="3" t="n">
        <v>-86.77</v>
      </c>
      <c r="E172" s="4" t="s">
        <v>19</v>
      </c>
      <c r="F172" s="5" t="n">
        <v>635</v>
      </c>
      <c r="G172" s="6" t="s">
        <v>20</v>
      </c>
      <c r="H172" s="10" t="s">
        <v>49</v>
      </c>
      <c r="I172" s="7" t="s">
        <v>21</v>
      </c>
      <c r="J172" s="2" t="s">
        <v>22</v>
      </c>
      <c r="K172" s="2" t="s">
        <v>524</v>
      </c>
      <c r="L172" s="9" t="s">
        <v>36</v>
      </c>
      <c r="M172" s="8" t="s">
        <v>521</v>
      </c>
      <c r="N172" s="2" t="s">
        <v>22</v>
      </c>
      <c r="O172" s="6" t="s">
        <v>26</v>
      </c>
      <c r="P172" s="8" t="s">
        <v>27</v>
      </c>
      <c r="Q172" s="8" t="s">
        <v>522</v>
      </c>
    </row>
    <row r="173" customFormat="false" ht="23.85" hidden="false" customHeight="false" outlineLevel="0" collapsed="false">
      <c r="A173" s="2" t="s">
        <v>509</v>
      </c>
      <c r="B173" s="2" t="s">
        <v>525</v>
      </c>
      <c r="C173" s="3" t="n">
        <v>39.93</v>
      </c>
      <c r="D173" s="3" t="n">
        <v>-85.95</v>
      </c>
      <c r="E173" s="4" t="s">
        <v>19</v>
      </c>
      <c r="F173" s="5" t="n">
        <v>786</v>
      </c>
      <c r="G173" s="6" t="s">
        <v>20</v>
      </c>
      <c r="H173" s="10" t="s">
        <v>49</v>
      </c>
      <c r="I173" s="7" t="s">
        <v>21</v>
      </c>
      <c r="J173" s="2" t="s">
        <v>22</v>
      </c>
      <c r="K173" s="2" t="s">
        <v>526</v>
      </c>
      <c r="L173" s="14" t="s">
        <v>72</v>
      </c>
      <c r="M173" s="8" t="s">
        <v>73</v>
      </c>
      <c r="N173" s="2" t="s">
        <v>41</v>
      </c>
      <c r="O173" s="9" t="s">
        <v>42</v>
      </c>
      <c r="P173" s="8" t="s">
        <v>43</v>
      </c>
      <c r="Q173" s="8" t="s">
        <v>527</v>
      </c>
    </row>
    <row r="174" customFormat="false" ht="23.85" hidden="false" customHeight="false" outlineLevel="0" collapsed="false">
      <c r="A174" s="2" t="s">
        <v>509</v>
      </c>
      <c r="B174" s="2" t="s">
        <v>528</v>
      </c>
      <c r="C174" s="3" t="n">
        <v>39.87</v>
      </c>
      <c r="D174" s="3" t="n">
        <v>-86.3</v>
      </c>
      <c r="E174" s="4" t="s">
        <v>19</v>
      </c>
      <c r="F174" s="5" t="n">
        <v>810</v>
      </c>
      <c r="G174" s="6" t="s">
        <v>20</v>
      </c>
      <c r="H174" s="10" t="s">
        <v>49</v>
      </c>
      <c r="I174" s="7" t="s">
        <v>21</v>
      </c>
      <c r="J174" s="2" t="s">
        <v>22</v>
      </c>
      <c r="K174" s="2" t="s">
        <v>529</v>
      </c>
      <c r="L174" s="14" t="s">
        <v>72</v>
      </c>
      <c r="M174" s="8" t="s">
        <v>73</v>
      </c>
      <c r="N174" s="2" t="s">
        <v>41</v>
      </c>
      <c r="O174" s="9" t="s">
        <v>42</v>
      </c>
      <c r="P174" s="8" t="s">
        <v>43</v>
      </c>
      <c r="Q174" s="8" t="s">
        <v>530</v>
      </c>
    </row>
    <row r="175" customFormat="false" ht="23.85" hidden="false" customHeight="false" outlineLevel="0" collapsed="false">
      <c r="A175" s="2" t="s">
        <v>509</v>
      </c>
      <c r="B175" s="2" t="s">
        <v>531</v>
      </c>
      <c r="C175" s="3" t="n">
        <v>39.45</v>
      </c>
      <c r="D175" s="3" t="n">
        <v>-85</v>
      </c>
      <c r="E175" s="4" t="s">
        <v>19</v>
      </c>
      <c r="F175" s="5" t="n">
        <v>748</v>
      </c>
      <c r="G175" s="6" t="s">
        <v>20</v>
      </c>
      <c r="H175" s="10" t="s">
        <v>49</v>
      </c>
      <c r="I175" s="7" t="s">
        <v>21</v>
      </c>
      <c r="J175" s="2" t="s">
        <v>22</v>
      </c>
      <c r="K175" s="2" t="s">
        <v>514</v>
      </c>
      <c r="L175" s="6" t="s">
        <v>24</v>
      </c>
      <c r="M175" s="8" t="s">
        <v>515</v>
      </c>
      <c r="N175" s="2" t="s">
        <v>22</v>
      </c>
      <c r="O175" s="6" t="s">
        <v>26</v>
      </c>
      <c r="P175" s="8" t="s">
        <v>27</v>
      </c>
      <c r="Q175" s="8" t="s">
        <v>532</v>
      </c>
    </row>
    <row r="176" customFormat="false" ht="23.85" hidden="false" customHeight="false" outlineLevel="0" collapsed="false">
      <c r="A176" s="2" t="s">
        <v>509</v>
      </c>
      <c r="B176" s="2" t="s">
        <v>533</v>
      </c>
      <c r="C176" s="3" t="n">
        <v>39.48</v>
      </c>
      <c r="D176" s="3" t="n">
        <v>-86.88</v>
      </c>
      <c r="E176" s="4" t="s">
        <v>19</v>
      </c>
      <c r="F176" s="5" t="n">
        <v>653</v>
      </c>
      <c r="G176" s="6" t="s">
        <v>20</v>
      </c>
      <c r="H176" s="10" t="s">
        <v>49</v>
      </c>
      <c r="I176" s="7" t="s">
        <v>21</v>
      </c>
      <c r="J176" s="2" t="s">
        <v>22</v>
      </c>
      <c r="K176" s="2" t="s">
        <v>514</v>
      </c>
      <c r="L176" s="6" t="s">
        <v>24</v>
      </c>
      <c r="M176" s="8" t="s">
        <v>515</v>
      </c>
      <c r="N176" s="2" t="s">
        <v>22</v>
      </c>
      <c r="O176" s="6" t="s">
        <v>26</v>
      </c>
      <c r="P176" s="8" t="s">
        <v>27</v>
      </c>
      <c r="Q176" s="8" t="s">
        <v>534</v>
      </c>
    </row>
    <row r="177" customFormat="false" ht="23.85" hidden="false" customHeight="false" outlineLevel="0" collapsed="false">
      <c r="A177" s="2" t="s">
        <v>509</v>
      </c>
      <c r="B177" s="2" t="s">
        <v>535</v>
      </c>
      <c r="C177" s="3" t="n">
        <v>41.35</v>
      </c>
      <c r="D177" s="3" t="n">
        <v>-85.73</v>
      </c>
      <c r="E177" s="4" t="s">
        <v>19</v>
      </c>
      <c r="F177" s="5" t="n">
        <v>801</v>
      </c>
      <c r="G177" s="11" t="s">
        <v>67</v>
      </c>
      <c r="H177" s="10" t="s">
        <v>49</v>
      </c>
      <c r="I177" s="13" t="s">
        <v>69</v>
      </c>
      <c r="J177" s="2" t="s">
        <v>70</v>
      </c>
      <c r="K177" s="2" t="s">
        <v>511</v>
      </c>
      <c r="L177" s="14" t="s">
        <v>72</v>
      </c>
      <c r="M177" s="8" t="s">
        <v>73</v>
      </c>
      <c r="N177" s="2" t="s">
        <v>70</v>
      </c>
      <c r="O177" s="9" t="s">
        <v>42</v>
      </c>
      <c r="P177" s="8" t="s">
        <v>43</v>
      </c>
      <c r="Q177" s="8" t="s">
        <v>536</v>
      </c>
    </row>
    <row r="178" customFormat="false" ht="23.85" hidden="false" customHeight="false" outlineLevel="0" collapsed="false">
      <c r="A178" s="2" t="s">
        <v>509</v>
      </c>
      <c r="B178" s="2" t="s">
        <v>537</v>
      </c>
      <c r="C178" s="3" t="n">
        <v>40.75</v>
      </c>
      <c r="D178" s="3" t="n">
        <v>-85.65</v>
      </c>
      <c r="E178" s="4" t="s">
        <v>19</v>
      </c>
      <c r="F178" s="5" t="n">
        <v>767</v>
      </c>
      <c r="G178" s="6" t="s">
        <v>20</v>
      </c>
      <c r="H178" s="10" t="s">
        <v>49</v>
      </c>
      <c r="I178" s="7" t="s">
        <v>21</v>
      </c>
      <c r="J178" s="2" t="s">
        <v>22</v>
      </c>
      <c r="K178" s="2" t="s">
        <v>514</v>
      </c>
      <c r="L178" s="6" t="s">
        <v>24</v>
      </c>
      <c r="M178" s="8" t="s">
        <v>515</v>
      </c>
      <c r="N178" s="2" t="s">
        <v>22</v>
      </c>
      <c r="O178" s="6" t="s">
        <v>26</v>
      </c>
      <c r="P178" s="8" t="s">
        <v>27</v>
      </c>
      <c r="Q178" s="8" t="s">
        <v>538</v>
      </c>
    </row>
    <row r="179" customFormat="false" ht="23.85" hidden="false" customHeight="false" outlineLevel="0" collapsed="false">
      <c r="A179" s="2" t="s">
        <v>509</v>
      </c>
      <c r="B179" s="2" t="s">
        <v>539</v>
      </c>
      <c r="C179" s="3" t="n">
        <v>40.72</v>
      </c>
      <c r="D179" s="3" t="n">
        <v>-85.9</v>
      </c>
      <c r="E179" s="4" t="s">
        <v>19</v>
      </c>
      <c r="F179" s="5" t="n">
        <v>737</v>
      </c>
      <c r="G179" s="6" t="s">
        <v>20</v>
      </c>
      <c r="H179" s="10" t="s">
        <v>49</v>
      </c>
      <c r="I179" s="7" t="s">
        <v>21</v>
      </c>
      <c r="J179" s="2" t="s">
        <v>22</v>
      </c>
      <c r="K179" s="2" t="s">
        <v>514</v>
      </c>
      <c r="L179" s="6" t="s">
        <v>24</v>
      </c>
      <c r="M179" s="8" t="s">
        <v>515</v>
      </c>
      <c r="N179" s="2" t="s">
        <v>22</v>
      </c>
      <c r="O179" s="6" t="s">
        <v>26</v>
      </c>
      <c r="P179" s="8" t="s">
        <v>27</v>
      </c>
      <c r="Q179" s="8" t="s">
        <v>540</v>
      </c>
    </row>
    <row r="180" customFormat="false" ht="23.85" hidden="false" customHeight="false" outlineLevel="0" collapsed="false">
      <c r="A180" s="2" t="s">
        <v>509</v>
      </c>
      <c r="B180" s="2" t="s">
        <v>541</v>
      </c>
      <c r="C180" s="3" t="n">
        <v>39.78</v>
      </c>
      <c r="D180" s="3" t="n">
        <v>-87.05</v>
      </c>
      <c r="E180" s="4" t="s">
        <v>19</v>
      </c>
      <c r="F180" s="5" t="n">
        <v>660</v>
      </c>
      <c r="G180" s="6" t="s">
        <v>20</v>
      </c>
      <c r="H180" s="10" t="s">
        <v>49</v>
      </c>
      <c r="I180" s="7" t="s">
        <v>21</v>
      </c>
      <c r="J180" s="2" t="s">
        <v>22</v>
      </c>
      <c r="K180" s="2" t="s">
        <v>514</v>
      </c>
      <c r="L180" s="6" t="s">
        <v>24</v>
      </c>
      <c r="M180" s="8" t="s">
        <v>515</v>
      </c>
      <c r="N180" s="2" t="s">
        <v>22</v>
      </c>
      <c r="O180" s="6" t="s">
        <v>26</v>
      </c>
      <c r="P180" s="8" t="s">
        <v>27</v>
      </c>
      <c r="Q180" s="8" t="s">
        <v>542</v>
      </c>
    </row>
    <row r="181" customFormat="false" ht="23.85" hidden="false" customHeight="false" outlineLevel="0" collapsed="false">
      <c r="A181" s="2" t="s">
        <v>543</v>
      </c>
      <c r="B181" s="2" t="s">
        <v>544</v>
      </c>
      <c r="C181" s="3" t="n">
        <v>43.45</v>
      </c>
      <c r="D181" s="3" t="n">
        <v>-95.1</v>
      </c>
      <c r="E181" s="4" t="s">
        <v>19</v>
      </c>
      <c r="F181" s="5" t="n">
        <v>1447</v>
      </c>
      <c r="G181" s="11" t="s">
        <v>67</v>
      </c>
      <c r="H181" s="10" t="s">
        <v>49</v>
      </c>
      <c r="I181" s="13" t="s">
        <v>69</v>
      </c>
      <c r="J181" s="2" t="s">
        <v>70</v>
      </c>
      <c r="K181" s="2" t="s">
        <v>511</v>
      </c>
      <c r="L181" s="9" t="s">
        <v>36</v>
      </c>
      <c r="M181" s="8" t="s">
        <v>432</v>
      </c>
      <c r="N181" s="2" t="s">
        <v>41</v>
      </c>
      <c r="O181" s="9" t="s">
        <v>42</v>
      </c>
      <c r="P181" s="8" t="s">
        <v>43</v>
      </c>
      <c r="Q181" s="8" t="s">
        <v>545</v>
      </c>
    </row>
    <row r="182" customFormat="false" ht="23.85" hidden="false" customHeight="false" outlineLevel="0" collapsed="false">
      <c r="A182" s="2" t="s">
        <v>543</v>
      </c>
      <c r="B182" s="2" t="s">
        <v>546</v>
      </c>
      <c r="C182" s="3" t="n">
        <v>43.37</v>
      </c>
      <c r="D182" s="3" t="n">
        <v>-95.15</v>
      </c>
      <c r="E182" s="4" t="s">
        <v>19</v>
      </c>
      <c r="F182" s="5" t="n">
        <v>1400</v>
      </c>
      <c r="G182" s="11" t="s">
        <v>67</v>
      </c>
      <c r="H182" s="10" t="s">
        <v>49</v>
      </c>
      <c r="I182" s="13" t="s">
        <v>69</v>
      </c>
      <c r="J182" s="2" t="s">
        <v>70</v>
      </c>
      <c r="K182" s="2" t="s">
        <v>511</v>
      </c>
      <c r="L182" s="9" t="s">
        <v>36</v>
      </c>
      <c r="M182" s="8" t="s">
        <v>432</v>
      </c>
      <c r="N182" s="2" t="s">
        <v>41</v>
      </c>
      <c r="O182" s="9" t="s">
        <v>42</v>
      </c>
      <c r="P182" s="8" t="s">
        <v>43</v>
      </c>
      <c r="Q182" s="8" t="s">
        <v>281</v>
      </c>
    </row>
    <row r="183" customFormat="false" ht="23.85" hidden="false" customHeight="false" outlineLevel="0" collapsed="false">
      <c r="A183" s="2" t="s">
        <v>543</v>
      </c>
      <c r="B183" s="2" t="s">
        <v>547</v>
      </c>
      <c r="C183" s="3" t="n">
        <v>43.4</v>
      </c>
      <c r="D183" s="3" t="n">
        <v>-95.12</v>
      </c>
      <c r="E183" s="4" t="s">
        <v>19</v>
      </c>
      <c r="F183" s="5" t="n">
        <v>1400</v>
      </c>
      <c r="G183" s="11" t="s">
        <v>67</v>
      </c>
      <c r="H183" s="10" t="s">
        <v>49</v>
      </c>
      <c r="I183" s="13" t="s">
        <v>69</v>
      </c>
      <c r="J183" s="2" t="s">
        <v>70</v>
      </c>
      <c r="K183" s="2" t="s">
        <v>511</v>
      </c>
      <c r="L183" s="9" t="s">
        <v>36</v>
      </c>
      <c r="M183" s="8" t="s">
        <v>432</v>
      </c>
      <c r="N183" s="2" t="s">
        <v>41</v>
      </c>
      <c r="O183" s="9" t="s">
        <v>42</v>
      </c>
      <c r="P183" s="8" t="s">
        <v>43</v>
      </c>
      <c r="Q183" s="8" t="s">
        <v>281</v>
      </c>
    </row>
    <row r="184" customFormat="false" ht="23.85" hidden="false" customHeight="false" outlineLevel="0" collapsed="false">
      <c r="A184" s="2" t="s">
        <v>543</v>
      </c>
      <c r="B184" s="2" t="s">
        <v>185</v>
      </c>
      <c r="C184" s="3" t="n">
        <v>43.13</v>
      </c>
      <c r="D184" s="3" t="n">
        <v>-93.42</v>
      </c>
      <c r="E184" s="4" t="s">
        <v>19</v>
      </c>
      <c r="F184" s="5" t="n">
        <v>1204</v>
      </c>
      <c r="G184" s="11" t="s">
        <v>67</v>
      </c>
      <c r="H184" s="10" t="s">
        <v>49</v>
      </c>
      <c r="I184" s="13" t="s">
        <v>69</v>
      </c>
      <c r="J184" s="2" t="s">
        <v>70</v>
      </c>
      <c r="K184" s="2" t="s">
        <v>548</v>
      </c>
      <c r="L184" s="9" t="s">
        <v>36</v>
      </c>
      <c r="M184" s="8" t="s">
        <v>432</v>
      </c>
      <c r="N184" s="2" t="s">
        <v>41</v>
      </c>
      <c r="O184" s="9" t="s">
        <v>42</v>
      </c>
      <c r="P184" s="8" t="s">
        <v>43</v>
      </c>
      <c r="Q184" s="8" t="s">
        <v>549</v>
      </c>
    </row>
    <row r="185" customFormat="false" ht="23.85" hidden="false" customHeight="false" outlineLevel="0" collapsed="false">
      <c r="A185" s="2" t="s">
        <v>543</v>
      </c>
      <c r="B185" s="2" t="s">
        <v>550</v>
      </c>
      <c r="C185" s="3" t="n">
        <v>42.63</v>
      </c>
      <c r="D185" s="3" t="n">
        <v>-95.2</v>
      </c>
      <c r="E185" s="4" t="s">
        <v>19</v>
      </c>
      <c r="F185" s="5" t="n">
        <v>1437</v>
      </c>
      <c r="G185" s="11" t="s">
        <v>67</v>
      </c>
      <c r="H185" s="10" t="s">
        <v>49</v>
      </c>
      <c r="I185" s="13" t="s">
        <v>69</v>
      </c>
      <c r="J185" s="2" t="s">
        <v>70</v>
      </c>
      <c r="K185" s="2" t="s">
        <v>511</v>
      </c>
      <c r="L185" s="14" t="s">
        <v>72</v>
      </c>
      <c r="M185" s="8" t="s">
        <v>73</v>
      </c>
      <c r="N185" s="2" t="s">
        <v>70</v>
      </c>
      <c r="O185" s="9" t="s">
        <v>42</v>
      </c>
      <c r="P185" s="8" t="s">
        <v>43</v>
      </c>
      <c r="Q185" s="8" t="s">
        <v>281</v>
      </c>
    </row>
    <row r="186" customFormat="false" ht="23.85" hidden="false" customHeight="false" outlineLevel="0" collapsed="false">
      <c r="A186" s="2" t="s">
        <v>543</v>
      </c>
      <c r="B186" s="2" t="s">
        <v>551</v>
      </c>
      <c r="C186" s="3" t="n">
        <v>40.85</v>
      </c>
      <c r="D186" s="3" t="n">
        <v>-92.87</v>
      </c>
      <c r="E186" s="4" t="s">
        <v>19</v>
      </c>
      <c r="F186" s="5" t="n">
        <v>904</v>
      </c>
      <c r="G186" s="6" t="s">
        <v>20</v>
      </c>
      <c r="H186" s="4" t="s">
        <v>19</v>
      </c>
      <c r="I186" s="7" t="s">
        <v>21</v>
      </c>
      <c r="J186" s="2" t="s">
        <v>22</v>
      </c>
      <c r="K186" s="2" t="s">
        <v>552</v>
      </c>
      <c r="L186" s="6" t="s">
        <v>24</v>
      </c>
      <c r="M186" s="8" t="s">
        <v>553</v>
      </c>
      <c r="N186" s="2" t="s">
        <v>22</v>
      </c>
      <c r="O186" s="6" t="s">
        <v>26</v>
      </c>
      <c r="P186" s="8" t="s">
        <v>27</v>
      </c>
      <c r="Q186" s="8" t="s">
        <v>554</v>
      </c>
    </row>
    <row r="187" customFormat="false" ht="23.85" hidden="false" customHeight="false" outlineLevel="0" collapsed="false">
      <c r="A187" s="2" t="s">
        <v>543</v>
      </c>
      <c r="B187" s="2" t="s">
        <v>555</v>
      </c>
      <c r="C187" s="3" t="n">
        <v>41.72</v>
      </c>
      <c r="D187" s="3" t="n">
        <v>-93.68</v>
      </c>
      <c r="E187" s="4" t="s">
        <v>19</v>
      </c>
      <c r="F187" s="5" t="n">
        <v>836</v>
      </c>
      <c r="G187" s="6" t="s">
        <v>20</v>
      </c>
      <c r="H187" s="4" t="s">
        <v>19</v>
      </c>
      <c r="I187" s="7" t="s">
        <v>21</v>
      </c>
      <c r="J187" s="2" t="s">
        <v>22</v>
      </c>
      <c r="K187" s="2" t="s">
        <v>552</v>
      </c>
      <c r="L187" s="6" t="s">
        <v>24</v>
      </c>
      <c r="M187" s="8" t="s">
        <v>553</v>
      </c>
      <c r="N187" s="2" t="s">
        <v>22</v>
      </c>
      <c r="O187" s="6" t="s">
        <v>26</v>
      </c>
      <c r="P187" s="8" t="s">
        <v>27</v>
      </c>
      <c r="Q187" s="8" t="s">
        <v>556</v>
      </c>
    </row>
    <row r="188" customFormat="false" ht="23.85" hidden="false" customHeight="false" outlineLevel="0" collapsed="false">
      <c r="A188" s="2" t="s">
        <v>543</v>
      </c>
      <c r="B188" s="2" t="s">
        <v>557</v>
      </c>
      <c r="C188" s="3" t="n">
        <v>41.37</v>
      </c>
      <c r="D188" s="3" t="n">
        <v>-93.05</v>
      </c>
      <c r="E188" s="4" t="s">
        <v>19</v>
      </c>
      <c r="F188" s="5" t="n">
        <v>742</v>
      </c>
      <c r="G188" s="6" t="s">
        <v>20</v>
      </c>
      <c r="H188" s="4" t="s">
        <v>19</v>
      </c>
      <c r="I188" s="7" t="s">
        <v>21</v>
      </c>
      <c r="J188" s="2" t="s">
        <v>22</v>
      </c>
      <c r="K188" s="2" t="s">
        <v>552</v>
      </c>
      <c r="L188" s="6" t="s">
        <v>24</v>
      </c>
      <c r="M188" s="8" t="s">
        <v>553</v>
      </c>
      <c r="N188" s="2" t="s">
        <v>22</v>
      </c>
      <c r="O188" s="6" t="s">
        <v>26</v>
      </c>
      <c r="P188" s="8" t="s">
        <v>27</v>
      </c>
      <c r="Q188" s="8" t="s">
        <v>558</v>
      </c>
    </row>
    <row r="189" customFormat="false" ht="23.85" hidden="false" customHeight="false" outlineLevel="0" collapsed="false">
      <c r="A189" s="2" t="s">
        <v>543</v>
      </c>
      <c r="B189" s="2" t="s">
        <v>559</v>
      </c>
      <c r="C189" s="3" t="n">
        <v>41.72</v>
      </c>
      <c r="D189" s="3" t="n">
        <v>-91.53</v>
      </c>
      <c r="E189" s="4" t="s">
        <v>19</v>
      </c>
      <c r="F189" s="5" t="n">
        <v>683</v>
      </c>
      <c r="G189" s="6" t="s">
        <v>20</v>
      </c>
      <c r="H189" s="10" t="s">
        <v>49</v>
      </c>
      <c r="I189" s="7" t="s">
        <v>21</v>
      </c>
      <c r="J189" s="2" t="s">
        <v>22</v>
      </c>
      <c r="K189" s="2" t="s">
        <v>552</v>
      </c>
      <c r="L189" s="6" t="s">
        <v>24</v>
      </c>
      <c r="M189" s="8" t="s">
        <v>560</v>
      </c>
      <c r="N189" s="2" t="s">
        <v>22</v>
      </c>
      <c r="O189" s="6" t="s">
        <v>26</v>
      </c>
      <c r="P189" s="8" t="s">
        <v>27</v>
      </c>
      <c r="Q189" s="8" t="s">
        <v>561</v>
      </c>
    </row>
    <row r="190" customFormat="false" ht="23.85" hidden="false" customHeight="false" outlineLevel="0" collapsed="false">
      <c r="A190" s="2" t="s">
        <v>543</v>
      </c>
      <c r="B190" s="2" t="s">
        <v>562</v>
      </c>
      <c r="C190" s="3" t="n">
        <v>41.78</v>
      </c>
      <c r="D190" s="3" t="n">
        <v>-93.75</v>
      </c>
      <c r="E190" s="4" t="s">
        <v>19</v>
      </c>
      <c r="F190" s="5" t="n">
        <v>896</v>
      </c>
      <c r="G190" s="6" t="s">
        <v>20</v>
      </c>
      <c r="H190" s="12" t="s">
        <v>68</v>
      </c>
      <c r="I190" s="7" t="s">
        <v>21</v>
      </c>
      <c r="J190" s="2" t="s">
        <v>22</v>
      </c>
      <c r="K190" s="2" t="s">
        <v>563</v>
      </c>
      <c r="L190" s="9" t="s">
        <v>36</v>
      </c>
      <c r="M190" s="8" t="s">
        <v>432</v>
      </c>
      <c r="N190" s="2" t="s">
        <v>41</v>
      </c>
      <c r="O190" s="9" t="s">
        <v>42</v>
      </c>
      <c r="P190" s="8" t="s">
        <v>43</v>
      </c>
      <c r="Q190" s="8" t="s">
        <v>564</v>
      </c>
    </row>
    <row r="191" customFormat="false" ht="23.85" hidden="false" customHeight="false" outlineLevel="0" collapsed="false">
      <c r="A191" s="2" t="s">
        <v>543</v>
      </c>
      <c r="B191" s="2" t="s">
        <v>565</v>
      </c>
      <c r="C191" s="3" t="n">
        <v>41.8</v>
      </c>
      <c r="D191" s="3" t="n">
        <v>-91.55</v>
      </c>
      <c r="E191" s="4" t="s">
        <v>19</v>
      </c>
      <c r="F191" s="5" t="n">
        <v>744</v>
      </c>
      <c r="G191" s="6" t="s">
        <v>20</v>
      </c>
      <c r="H191" s="12" t="s">
        <v>68</v>
      </c>
      <c r="I191" s="7" t="s">
        <v>21</v>
      </c>
      <c r="J191" s="2" t="s">
        <v>22</v>
      </c>
      <c r="K191" s="2" t="s">
        <v>566</v>
      </c>
      <c r="L191" s="14" t="s">
        <v>72</v>
      </c>
      <c r="M191" s="8" t="s">
        <v>73</v>
      </c>
      <c r="N191" s="2" t="s">
        <v>41</v>
      </c>
      <c r="O191" s="9" t="s">
        <v>42</v>
      </c>
      <c r="P191" s="8" t="s">
        <v>43</v>
      </c>
      <c r="Q191" s="8" t="s">
        <v>567</v>
      </c>
    </row>
    <row r="192" customFormat="false" ht="23.85" hidden="false" customHeight="false" outlineLevel="0" collapsed="false">
      <c r="A192" s="2" t="s">
        <v>543</v>
      </c>
      <c r="B192" s="2" t="s">
        <v>568</v>
      </c>
      <c r="C192" s="3" t="n">
        <v>42.3</v>
      </c>
      <c r="D192" s="3" t="n">
        <v>-95.03</v>
      </c>
      <c r="E192" s="4" t="s">
        <v>19</v>
      </c>
      <c r="F192" s="5" t="n">
        <v>1225</v>
      </c>
      <c r="G192" s="11" t="s">
        <v>67</v>
      </c>
      <c r="H192" s="12" t="s">
        <v>68</v>
      </c>
      <c r="I192" s="13" t="s">
        <v>69</v>
      </c>
      <c r="J192" s="2" t="s">
        <v>70</v>
      </c>
      <c r="K192" s="2" t="s">
        <v>511</v>
      </c>
      <c r="L192" s="14" t="s">
        <v>72</v>
      </c>
      <c r="M192" s="8" t="s">
        <v>73</v>
      </c>
      <c r="N192" s="2" t="s">
        <v>70</v>
      </c>
      <c r="O192" s="9" t="s">
        <v>42</v>
      </c>
      <c r="P192" s="8" t="s">
        <v>43</v>
      </c>
      <c r="Q192" s="8" t="s">
        <v>569</v>
      </c>
    </row>
    <row r="193" customFormat="false" ht="23.85" hidden="false" customHeight="false" outlineLevel="0" collapsed="false">
      <c r="A193" s="2" t="s">
        <v>570</v>
      </c>
      <c r="B193" s="2" t="s">
        <v>571</v>
      </c>
      <c r="C193" s="3" t="n">
        <v>39.1</v>
      </c>
      <c r="D193" s="3" t="n">
        <v>-96.91</v>
      </c>
      <c r="E193" s="4" t="s">
        <v>19</v>
      </c>
      <c r="F193" s="5" t="n">
        <v>1144.4</v>
      </c>
      <c r="G193" s="6" t="s">
        <v>20</v>
      </c>
      <c r="H193" s="4" t="s">
        <v>19</v>
      </c>
      <c r="I193" s="7" t="s">
        <v>21</v>
      </c>
      <c r="J193" s="2" t="s">
        <v>22</v>
      </c>
      <c r="K193" s="2" t="s">
        <v>572</v>
      </c>
      <c r="L193" s="6" t="s">
        <v>24</v>
      </c>
      <c r="M193" s="8" t="s">
        <v>573</v>
      </c>
      <c r="N193" s="2" t="s">
        <v>22</v>
      </c>
      <c r="O193" s="6" t="s">
        <v>26</v>
      </c>
      <c r="P193" s="8" t="s">
        <v>27</v>
      </c>
      <c r="Q193" s="8" t="s">
        <v>574</v>
      </c>
    </row>
    <row r="194" customFormat="false" ht="23.85" hidden="false" customHeight="false" outlineLevel="0" collapsed="false">
      <c r="A194" s="2" t="s">
        <v>570</v>
      </c>
      <c r="B194" s="2" t="s">
        <v>575</v>
      </c>
      <c r="C194" s="3" t="n">
        <v>39.32</v>
      </c>
      <c r="D194" s="3" t="n">
        <v>-96.61</v>
      </c>
      <c r="E194" s="4" t="s">
        <v>19</v>
      </c>
      <c r="F194" s="5" t="n">
        <v>1075</v>
      </c>
      <c r="G194" s="6" t="s">
        <v>20</v>
      </c>
      <c r="H194" s="4" t="s">
        <v>19</v>
      </c>
      <c r="I194" s="7" t="s">
        <v>21</v>
      </c>
      <c r="J194" s="2" t="s">
        <v>22</v>
      </c>
      <c r="K194" s="2" t="s">
        <v>572</v>
      </c>
      <c r="L194" s="6" t="s">
        <v>24</v>
      </c>
      <c r="M194" s="8" t="s">
        <v>573</v>
      </c>
      <c r="N194" s="2" t="s">
        <v>22</v>
      </c>
      <c r="O194" s="6" t="s">
        <v>26</v>
      </c>
      <c r="P194" s="8" t="s">
        <v>27</v>
      </c>
      <c r="Q194" s="8" t="s">
        <v>576</v>
      </c>
    </row>
    <row r="195" customFormat="false" ht="23.85" hidden="false" customHeight="false" outlineLevel="0" collapsed="false">
      <c r="A195" s="2" t="s">
        <v>570</v>
      </c>
      <c r="B195" s="2" t="s">
        <v>577</v>
      </c>
      <c r="C195" s="3" t="n">
        <v>37.73</v>
      </c>
      <c r="D195" s="3" t="n">
        <v>-97.82</v>
      </c>
      <c r="E195" s="4" t="s">
        <v>19</v>
      </c>
      <c r="F195" s="5" t="n">
        <v>1421.6</v>
      </c>
      <c r="G195" s="6" t="s">
        <v>20</v>
      </c>
      <c r="H195" s="4" t="s">
        <v>19</v>
      </c>
      <c r="I195" s="7" t="s">
        <v>21</v>
      </c>
      <c r="J195" s="2" t="s">
        <v>22</v>
      </c>
      <c r="K195" s="2" t="s">
        <v>578</v>
      </c>
      <c r="L195" s="6" t="s">
        <v>24</v>
      </c>
      <c r="M195" s="8" t="s">
        <v>579</v>
      </c>
      <c r="N195" s="2" t="s">
        <v>22</v>
      </c>
      <c r="O195" s="6" t="s">
        <v>26</v>
      </c>
      <c r="P195" s="8" t="s">
        <v>27</v>
      </c>
      <c r="Q195" s="8" t="s">
        <v>580</v>
      </c>
    </row>
    <row r="196" customFormat="false" ht="23.85" hidden="false" customHeight="false" outlineLevel="0" collapsed="false">
      <c r="A196" s="2" t="s">
        <v>570</v>
      </c>
      <c r="B196" s="2" t="s">
        <v>581</v>
      </c>
      <c r="C196" s="3" t="n">
        <v>39.14</v>
      </c>
      <c r="D196" s="3" t="n">
        <v>-95.45</v>
      </c>
      <c r="E196" s="4" t="s">
        <v>19</v>
      </c>
      <c r="F196" s="5" t="n">
        <v>891.5</v>
      </c>
      <c r="G196" s="6" t="s">
        <v>20</v>
      </c>
      <c r="H196" s="4" t="s">
        <v>19</v>
      </c>
      <c r="I196" s="7" t="s">
        <v>21</v>
      </c>
      <c r="J196" s="2" t="s">
        <v>22</v>
      </c>
      <c r="K196" s="2" t="s">
        <v>572</v>
      </c>
      <c r="L196" s="6" t="s">
        <v>24</v>
      </c>
      <c r="M196" s="8" t="s">
        <v>573</v>
      </c>
      <c r="N196" s="2" t="s">
        <v>22</v>
      </c>
      <c r="O196" s="6" t="s">
        <v>26</v>
      </c>
      <c r="P196" s="8" t="s">
        <v>27</v>
      </c>
      <c r="Q196" s="8" t="s">
        <v>582</v>
      </c>
    </row>
    <row r="197" customFormat="false" ht="23.85" hidden="false" customHeight="false" outlineLevel="0" collapsed="false">
      <c r="A197" s="2" t="s">
        <v>570</v>
      </c>
      <c r="B197" s="2" t="s">
        <v>499</v>
      </c>
      <c r="C197" s="3" t="n">
        <v>38.925</v>
      </c>
      <c r="D197" s="3" t="n">
        <v>-95.36</v>
      </c>
      <c r="E197" s="4" t="s">
        <v>19</v>
      </c>
      <c r="F197" s="5" t="n">
        <v>875.5</v>
      </c>
      <c r="G197" s="6" t="s">
        <v>20</v>
      </c>
      <c r="H197" s="4" t="s">
        <v>19</v>
      </c>
      <c r="I197" s="7" t="s">
        <v>21</v>
      </c>
      <c r="J197" s="2" t="s">
        <v>22</v>
      </c>
      <c r="K197" s="2" t="s">
        <v>572</v>
      </c>
      <c r="L197" s="6" t="s">
        <v>24</v>
      </c>
      <c r="M197" s="8" t="s">
        <v>573</v>
      </c>
      <c r="N197" s="2" t="s">
        <v>22</v>
      </c>
      <c r="O197" s="6" t="s">
        <v>26</v>
      </c>
      <c r="P197" s="8" t="s">
        <v>27</v>
      </c>
      <c r="Q197" s="8" t="s">
        <v>583</v>
      </c>
    </row>
    <row r="198" customFormat="false" ht="23.85" hidden="false" customHeight="false" outlineLevel="0" collapsed="false">
      <c r="A198" s="2" t="s">
        <v>570</v>
      </c>
      <c r="B198" s="2" t="s">
        <v>584</v>
      </c>
      <c r="C198" s="3" t="n">
        <v>38.93</v>
      </c>
      <c r="D198" s="3" t="n">
        <v>-98.51</v>
      </c>
      <c r="E198" s="4" t="s">
        <v>19</v>
      </c>
      <c r="F198" s="5" t="n">
        <v>1516</v>
      </c>
      <c r="G198" s="6" t="s">
        <v>20</v>
      </c>
      <c r="H198" s="4" t="s">
        <v>19</v>
      </c>
      <c r="I198" s="7" t="s">
        <v>21</v>
      </c>
      <c r="J198" s="2" t="s">
        <v>22</v>
      </c>
      <c r="K198" s="2" t="s">
        <v>572</v>
      </c>
      <c r="L198" s="6" t="s">
        <v>24</v>
      </c>
      <c r="M198" s="8" t="s">
        <v>573</v>
      </c>
      <c r="N198" s="2" t="s">
        <v>22</v>
      </c>
      <c r="O198" s="6" t="s">
        <v>26</v>
      </c>
      <c r="P198" s="8" t="s">
        <v>27</v>
      </c>
      <c r="Q198" s="8" t="s">
        <v>585</v>
      </c>
    </row>
    <row r="199" customFormat="false" ht="23.85" hidden="false" customHeight="false" outlineLevel="0" collapsed="false">
      <c r="A199" s="2" t="s">
        <v>570</v>
      </c>
      <c r="B199" s="2" t="s">
        <v>586</v>
      </c>
      <c r="C199" s="3" t="n">
        <v>38.62</v>
      </c>
      <c r="D199" s="3" t="n">
        <v>-98.01</v>
      </c>
      <c r="E199" s="4" t="s">
        <v>19</v>
      </c>
      <c r="F199" s="5" t="n">
        <v>1463</v>
      </c>
      <c r="G199" s="6" t="s">
        <v>20</v>
      </c>
      <c r="H199" s="10" t="s">
        <v>49</v>
      </c>
      <c r="I199" s="7" t="s">
        <v>21</v>
      </c>
      <c r="J199" s="2" t="s">
        <v>22</v>
      </c>
      <c r="K199" s="2" t="s">
        <v>572</v>
      </c>
      <c r="L199" s="6" t="s">
        <v>24</v>
      </c>
      <c r="M199" s="8" t="s">
        <v>573</v>
      </c>
      <c r="N199" s="2" t="s">
        <v>22</v>
      </c>
      <c r="O199" s="6" t="s">
        <v>26</v>
      </c>
      <c r="P199" s="8" t="s">
        <v>27</v>
      </c>
      <c r="Q199" s="8" t="s">
        <v>587</v>
      </c>
    </row>
    <row r="200" customFormat="false" ht="23.85" hidden="false" customHeight="false" outlineLevel="0" collapsed="false">
      <c r="A200" s="2" t="s">
        <v>570</v>
      </c>
      <c r="B200" s="2" t="s">
        <v>588</v>
      </c>
      <c r="C200" s="3" t="n">
        <v>38.78</v>
      </c>
      <c r="D200" s="3" t="n">
        <v>-99.73</v>
      </c>
      <c r="E200" s="4" t="s">
        <v>19</v>
      </c>
      <c r="F200" s="5" t="n">
        <v>2144</v>
      </c>
      <c r="G200" s="6" t="s">
        <v>20</v>
      </c>
      <c r="H200" s="4" t="s">
        <v>19</v>
      </c>
      <c r="I200" s="7" t="s">
        <v>21</v>
      </c>
      <c r="J200" s="2" t="s">
        <v>22</v>
      </c>
      <c r="K200" s="2" t="s">
        <v>589</v>
      </c>
      <c r="L200" s="6" t="s">
        <v>24</v>
      </c>
      <c r="M200" s="8" t="s">
        <v>579</v>
      </c>
      <c r="N200" s="2" t="s">
        <v>41</v>
      </c>
      <c r="O200" s="9" t="s">
        <v>42</v>
      </c>
      <c r="P200" s="8" t="s">
        <v>43</v>
      </c>
      <c r="Q200" s="8" t="s">
        <v>587</v>
      </c>
    </row>
    <row r="201" customFormat="false" ht="23.85" hidden="false" customHeight="false" outlineLevel="0" collapsed="false">
      <c r="A201" s="2" t="s">
        <v>570</v>
      </c>
      <c r="B201" s="2" t="s">
        <v>590</v>
      </c>
      <c r="C201" s="3" t="n">
        <v>37.84</v>
      </c>
      <c r="D201" s="3" t="n">
        <v>-96.79</v>
      </c>
      <c r="E201" s="4" t="s">
        <v>19</v>
      </c>
      <c r="F201" s="5" t="n">
        <v>1339</v>
      </c>
      <c r="G201" s="6" t="s">
        <v>20</v>
      </c>
      <c r="H201" s="4" t="s">
        <v>19</v>
      </c>
      <c r="I201" s="7" t="s">
        <v>21</v>
      </c>
      <c r="J201" s="2" t="s">
        <v>22</v>
      </c>
      <c r="K201" s="2" t="s">
        <v>591</v>
      </c>
      <c r="L201" s="6" t="s">
        <v>24</v>
      </c>
      <c r="M201" s="8" t="s">
        <v>592</v>
      </c>
      <c r="N201" s="2" t="s">
        <v>22</v>
      </c>
      <c r="O201" s="6" t="s">
        <v>26</v>
      </c>
      <c r="P201" s="8" t="s">
        <v>27</v>
      </c>
      <c r="Q201" s="8" t="s">
        <v>593</v>
      </c>
    </row>
    <row r="202" customFormat="false" ht="23.85" hidden="false" customHeight="false" outlineLevel="0" collapsed="false">
      <c r="A202" s="2" t="s">
        <v>570</v>
      </c>
      <c r="B202" s="2" t="s">
        <v>594</v>
      </c>
      <c r="C202" s="3" t="n">
        <v>38.51</v>
      </c>
      <c r="D202" s="3" t="n">
        <v>-95.72</v>
      </c>
      <c r="E202" s="4" t="s">
        <v>19</v>
      </c>
      <c r="F202" s="5" t="n">
        <v>1036</v>
      </c>
      <c r="G202" s="6" t="s">
        <v>20</v>
      </c>
      <c r="H202" s="4" t="s">
        <v>19</v>
      </c>
      <c r="I202" s="7" t="s">
        <v>21</v>
      </c>
      <c r="J202" s="2" t="s">
        <v>22</v>
      </c>
      <c r="K202" s="2" t="s">
        <v>572</v>
      </c>
      <c r="L202" s="6" t="s">
        <v>24</v>
      </c>
      <c r="M202" s="8" t="s">
        <v>573</v>
      </c>
      <c r="N202" s="2" t="s">
        <v>22</v>
      </c>
      <c r="O202" s="6" t="s">
        <v>26</v>
      </c>
      <c r="P202" s="8" t="s">
        <v>27</v>
      </c>
      <c r="Q202" s="8" t="s">
        <v>595</v>
      </c>
    </row>
    <row r="203" customFormat="false" ht="23.85" hidden="false" customHeight="false" outlineLevel="0" collapsed="false">
      <c r="A203" s="2" t="s">
        <v>570</v>
      </c>
      <c r="B203" s="2" t="s">
        <v>596</v>
      </c>
      <c r="C203" s="3" t="n">
        <v>38.65</v>
      </c>
      <c r="D203" s="3" t="n">
        <v>-95.56</v>
      </c>
      <c r="E203" s="4" t="s">
        <v>19</v>
      </c>
      <c r="F203" s="5" t="n">
        <v>974</v>
      </c>
      <c r="G203" s="6" t="s">
        <v>20</v>
      </c>
      <c r="H203" s="4" t="s">
        <v>19</v>
      </c>
      <c r="I203" s="7" t="s">
        <v>21</v>
      </c>
      <c r="J203" s="2" t="s">
        <v>22</v>
      </c>
      <c r="K203" s="2" t="s">
        <v>572</v>
      </c>
      <c r="L203" s="6" t="s">
        <v>24</v>
      </c>
      <c r="M203" s="8" t="s">
        <v>573</v>
      </c>
      <c r="N203" s="2" t="s">
        <v>22</v>
      </c>
      <c r="O203" s="6" t="s">
        <v>26</v>
      </c>
      <c r="P203" s="8" t="s">
        <v>27</v>
      </c>
      <c r="Q203" s="8" t="s">
        <v>597</v>
      </c>
    </row>
    <row r="204" customFormat="false" ht="23.85" hidden="false" customHeight="false" outlineLevel="0" collapsed="false">
      <c r="A204" s="2" t="s">
        <v>570</v>
      </c>
      <c r="B204" s="2" t="s">
        <v>598</v>
      </c>
      <c r="C204" s="3" t="n">
        <v>38.25</v>
      </c>
      <c r="D204" s="3" t="n">
        <v>-95.76</v>
      </c>
      <c r="E204" s="4" t="s">
        <v>19</v>
      </c>
      <c r="F204" s="5" t="n">
        <v>1041</v>
      </c>
      <c r="G204" s="6" t="s">
        <v>20</v>
      </c>
      <c r="H204" s="10" t="s">
        <v>49</v>
      </c>
      <c r="I204" s="7" t="s">
        <v>21</v>
      </c>
      <c r="J204" s="2" t="s">
        <v>22</v>
      </c>
      <c r="K204" s="2" t="s">
        <v>591</v>
      </c>
      <c r="L204" s="6" t="s">
        <v>24</v>
      </c>
      <c r="M204" s="8" t="s">
        <v>599</v>
      </c>
      <c r="N204" s="2" t="s">
        <v>22</v>
      </c>
      <c r="O204" s="6" t="s">
        <v>26</v>
      </c>
      <c r="P204" s="8" t="s">
        <v>27</v>
      </c>
      <c r="Q204" s="8" t="s">
        <v>600</v>
      </c>
    </row>
    <row r="205" customFormat="false" ht="23.85" hidden="false" customHeight="false" outlineLevel="0" collapsed="false">
      <c r="A205" s="2" t="s">
        <v>570</v>
      </c>
      <c r="B205" s="2" t="s">
        <v>601</v>
      </c>
      <c r="C205" s="3" t="n">
        <v>38.37</v>
      </c>
      <c r="D205" s="3" t="n">
        <v>-97.09</v>
      </c>
      <c r="E205" s="4" t="s">
        <v>19</v>
      </c>
      <c r="F205" s="5" t="n">
        <v>1350.5</v>
      </c>
      <c r="G205" s="6" t="s">
        <v>20</v>
      </c>
      <c r="H205" s="10" t="s">
        <v>49</v>
      </c>
      <c r="I205" s="7" t="s">
        <v>21</v>
      </c>
      <c r="J205" s="2" t="s">
        <v>22</v>
      </c>
      <c r="K205" s="2" t="s">
        <v>591</v>
      </c>
      <c r="L205" s="6" t="s">
        <v>24</v>
      </c>
      <c r="M205" s="8" t="s">
        <v>599</v>
      </c>
      <c r="N205" s="2" t="s">
        <v>22</v>
      </c>
      <c r="O205" s="6" t="s">
        <v>26</v>
      </c>
      <c r="P205" s="8" t="s">
        <v>27</v>
      </c>
      <c r="Q205" s="8" t="s">
        <v>602</v>
      </c>
    </row>
    <row r="206" customFormat="false" ht="23.85" hidden="false" customHeight="false" outlineLevel="0" collapsed="false">
      <c r="A206" s="2" t="s">
        <v>570</v>
      </c>
      <c r="B206" s="2" t="s">
        <v>603</v>
      </c>
      <c r="C206" s="3" t="n">
        <v>39.49</v>
      </c>
      <c r="D206" s="3" t="n">
        <v>-98.31</v>
      </c>
      <c r="E206" s="4" t="s">
        <v>19</v>
      </c>
      <c r="F206" s="5" t="n">
        <v>1455.6</v>
      </c>
      <c r="G206" s="6" t="s">
        <v>20</v>
      </c>
      <c r="H206" s="10" t="s">
        <v>49</v>
      </c>
      <c r="I206" s="7" t="s">
        <v>21</v>
      </c>
      <c r="J206" s="2" t="s">
        <v>22</v>
      </c>
      <c r="K206" s="2" t="s">
        <v>604</v>
      </c>
      <c r="L206" s="6" t="s">
        <v>24</v>
      </c>
      <c r="M206" s="8" t="s">
        <v>579</v>
      </c>
      <c r="N206" s="2" t="s">
        <v>41</v>
      </c>
      <c r="O206" s="9" t="s">
        <v>42</v>
      </c>
      <c r="P206" s="8" t="s">
        <v>43</v>
      </c>
      <c r="Q206" s="8" t="s">
        <v>605</v>
      </c>
    </row>
    <row r="207" customFormat="false" ht="23.85" hidden="false" customHeight="false" outlineLevel="0" collapsed="false">
      <c r="A207" s="2" t="s">
        <v>606</v>
      </c>
      <c r="B207" s="2" t="s">
        <v>607</v>
      </c>
      <c r="C207" s="3" t="n">
        <v>36.9</v>
      </c>
      <c r="D207" s="3" t="n">
        <v>-88.07</v>
      </c>
      <c r="E207" s="4" t="s">
        <v>19</v>
      </c>
      <c r="F207" s="5" t="n">
        <v>359</v>
      </c>
      <c r="G207" s="6" t="s">
        <v>20</v>
      </c>
      <c r="H207" s="4" t="s">
        <v>19</v>
      </c>
      <c r="I207" s="7" t="s">
        <v>21</v>
      </c>
      <c r="J207" s="2" t="s">
        <v>22</v>
      </c>
      <c r="K207" s="2" t="s">
        <v>608</v>
      </c>
      <c r="L207" s="6" t="s">
        <v>24</v>
      </c>
      <c r="M207" s="8" t="s">
        <v>609</v>
      </c>
      <c r="N207" s="2" t="s">
        <v>22</v>
      </c>
      <c r="O207" s="6" t="s">
        <v>26</v>
      </c>
      <c r="P207" s="8" t="s">
        <v>27</v>
      </c>
      <c r="Q207" s="8" t="s">
        <v>31</v>
      </c>
    </row>
    <row r="208" customFormat="false" ht="23.85" hidden="false" customHeight="false" outlineLevel="0" collapsed="false">
      <c r="A208" s="2" t="s">
        <v>606</v>
      </c>
      <c r="B208" s="2" t="s">
        <v>610</v>
      </c>
      <c r="C208" s="3" t="n">
        <v>36.92</v>
      </c>
      <c r="D208" s="3" t="n">
        <v>-87.94</v>
      </c>
      <c r="E208" s="4" t="s">
        <v>19</v>
      </c>
      <c r="F208" s="5" t="n">
        <v>359</v>
      </c>
      <c r="G208" s="6" t="s">
        <v>20</v>
      </c>
      <c r="H208" s="4" t="s">
        <v>19</v>
      </c>
      <c r="I208" s="7" t="s">
        <v>21</v>
      </c>
      <c r="J208" s="2" t="s">
        <v>22</v>
      </c>
      <c r="K208" s="2" t="s">
        <v>611</v>
      </c>
      <c r="L208" s="6" t="s">
        <v>24</v>
      </c>
      <c r="M208" s="8" t="s">
        <v>612</v>
      </c>
      <c r="N208" s="2" t="s">
        <v>22</v>
      </c>
      <c r="O208" s="6" t="s">
        <v>26</v>
      </c>
      <c r="P208" s="8" t="s">
        <v>27</v>
      </c>
      <c r="Q208" s="8" t="s">
        <v>613</v>
      </c>
    </row>
    <row r="209" customFormat="false" ht="23.85" hidden="false" customHeight="false" outlineLevel="0" collapsed="false">
      <c r="A209" s="2" t="s">
        <v>606</v>
      </c>
      <c r="B209" s="2" t="s">
        <v>614</v>
      </c>
      <c r="C209" s="3" t="n">
        <v>36.93</v>
      </c>
      <c r="D209" s="3" t="n">
        <v>-85.05</v>
      </c>
      <c r="E209" s="4" t="s">
        <v>19</v>
      </c>
      <c r="F209" s="5" t="n">
        <v>723</v>
      </c>
      <c r="G209" s="6" t="s">
        <v>20</v>
      </c>
      <c r="H209" s="4" t="s">
        <v>19</v>
      </c>
      <c r="I209" s="7" t="s">
        <v>21</v>
      </c>
      <c r="J209" s="2" t="s">
        <v>22</v>
      </c>
      <c r="K209" s="2" t="s">
        <v>615</v>
      </c>
      <c r="L209" s="6" t="s">
        <v>24</v>
      </c>
      <c r="M209" s="8" t="s">
        <v>616</v>
      </c>
      <c r="N209" s="2" t="s">
        <v>22</v>
      </c>
      <c r="O209" s="6" t="s">
        <v>26</v>
      </c>
      <c r="P209" s="8" t="s">
        <v>27</v>
      </c>
      <c r="Q209" s="8" t="s">
        <v>617</v>
      </c>
    </row>
    <row r="210" customFormat="false" ht="23.85" hidden="false" customHeight="false" outlineLevel="0" collapsed="false">
      <c r="A210" s="2" t="s">
        <v>606</v>
      </c>
      <c r="B210" s="2" t="s">
        <v>618</v>
      </c>
      <c r="C210" s="3" t="n">
        <v>36.63</v>
      </c>
      <c r="D210" s="3" t="n">
        <v>-85.2</v>
      </c>
      <c r="E210" s="4" t="s">
        <v>19</v>
      </c>
      <c r="F210" s="5" t="n">
        <v>651</v>
      </c>
      <c r="G210" s="6" t="s">
        <v>20</v>
      </c>
      <c r="H210" s="4" t="s">
        <v>19</v>
      </c>
      <c r="I210" s="7" t="s">
        <v>21</v>
      </c>
      <c r="J210" s="2" t="s">
        <v>22</v>
      </c>
      <c r="K210" s="2" t="s">
        <v>619</v>
      </c>
      <c r="L210" s="6" t="s">
        <v>24</v>
      </c>
      <c r="M210" s="8" t="s">
        <v>616</v>
      </c>
      <c r="N210" s="2" t="s">
        <v>22</v>
      </c>
      <c r="O210" s="6" t="s">
        <v>26</v>
      </c>
      <c r="P210" s="8" t="s">
        <v>27</v>
      </c>
      <c r="Q210" s="8" t="s">
        <v>620</v>
      </c>
    </row>
    <row r="211" customFormat="false" ht="23.85" hidden="false" customHeight="false" outlineLevel="0" collapsed="false">
      <c r="A211" s="2" t="s">
        <v>606</v>
      </c>
      <c r="B211" s="2" t="s">
        <v>621</v>
      </c>
      <c r="C211" s="3" t="n">
        <v>36.89</v>
      </c>
      <c r="D211" s="3" t="n">
        <v>-86.13</v>
      </c>
      <c r="E211" s="4" t="s">
        <v>19</v>
      </c>
      <c r="F211" s="5" t="n">
        <v>552</v>
      </c>
      <c r="G211" s="6" t="s">
        <v>20</v>
      </c>
      <c r="H211" s="4" t="s">
        <v>19</v>
      </c>
      <c r="I211" s="7" t="s">
        <v>21</v>
      </c>
      <c r="J211" s="2" t="s">
        <v>22</v>
      </c>
      <c r="K211" s="2" t="s">
        <v>514</v>
      </c>
      <c r="L211" s="6" t="s">
        <v>24</v>
      </c>
      <c r="M211" s="8" t="s">
        <v>622</v>
      </c>
      <c r="N211" s="2" t="s">
        <v>22</v>
      </c>
      <c r="O211" s="6" t="s">
        <v>26</v>
      </c>
      <c r="P211" s="8" t="s">
        <v>27</v>
      </c>
      <c r="Q211" s="8" t="s">
        <v>623</v>
      </c>
    </row>
    <row r="212" customFormat="false" ht="23.85" hidden="false" customHeight="false" outlineLevel="0" collapsed="false">
      <c r="A212" s="2" t="s">
        <v>606</v>
      </c>
      <c r="B212" s="2" t="s">
        <v>624</v>
      </c>
      <c r="C212" s="3" t="n">
        <v>37.3</v>
      </c>
      <c r="D212" s="3" t="n">
        <v>-86.25</v>
      </c>
      <c r="E212" s="4" t="s">
        <v>19</v>
      </c>
      <c r="F212" s="5" t="n">
        <v>515</v>
      </c>
      <c r="G212" s="6" t="s">
        <v>20</v>
      </c>
      <c r="H212" s="4" t="s">
        <v>19</v>
      </c>
      <c r="I212" s="7" t="s">
        <v>21</v>
      </c>
      <c r="J212" s="2" t="s">
        <v>22</v>
      </c>
      <c r="K212" s="2" t="s">
        <v>514</v>
      </c>
      <c r="L212" s="6" t="s">
        <v>24</v>
      </c>
      <c r="M212" s="8" t="s">
        <v>622</v>
      </c>
      <c r="N212" s="2" t="s">
        <v>22</v>
      </c>
      <c r="O212" s="6" t="s">
        <v>26</v>
      </c>
      <c r="P212" s="8" t="s">
        <v>27</v>
      </c>
      <c r="Q212" s="8" t="s">
        <v>625</v>
      </c>
    </row>
    <row r="213" customFormat="false" ht="23.85" hidden="false" customHeight="false" outlineLevel="0" collapsed="false">
      <c r="A213" s="2" t="s">
        <v>606</v>
      </c>
      <c r="B213" s="2" t="s">
        <v>626</v>
      </c>
      <c r="C213" s="3" t="n">
        <v>37.61</v>
      </c>
      <c r="D213" s="3" t="n">
        <v>-86.51</v>
      </c>
      <c r="E213" s="4" t="s">
        <v>19</v>
      </c>
      <c r="F213" s="5" t="n">
        <v>495</v>
      </c>
      <c r="G213" s="6" t="s">
        <v>20</v>
      </c>
      <c r="H213" s="4" t="s">
        <v>19</v>
      </c>
      <c r="I213" s="7" t="s">
        <v>21</v>
      </c>
      <c r="J213" s="2" t="s">
        <v>22</v>
      </c>
      <c r="K213" s="2" t="s">
        <v>514</v>
      </c>
      <c r="L213" s="6" t="s">
        <v>24</v>
      </c>
      <c r="M213" s="8" t="s">
        <v>622</v>
      </c>
      <c r="N213" s="2" t="s">
        <v>22</v>
      </c>
      <c r="O213" s="6" t="s">
        <v>26</v>
      </c>
      <c r="P213" s="8" t="s">
        <v>27</v>
      </c>
      <c r="Q213" s="8" t="s">
        <v>627</v>
      </c>
    </row>
    <row r="214" customFormat="false" ht="23.85" hidden="false" customHeight="false" outlineLevel="0" collapsed="false">
      <c r="A214" s="2" t="s">
        <v>606</v>
      </c>
      <c r="B214" s="2" t="s">
        <v>628</v>
      </c>
      <c r="C214" s="3" t="n">
        <v>37.25</v>
      </c>
      <c r="D214" s="3" t="n">
        <v>-85.34</v>
      </c>
      <c r="E214" s="4" t="s">
        <v>19</v>
      </c>
      <c r="F214" s="5" t="n">
        <v>675</v>
      </c>
      <c r="G214" s="6" t="s">
        <v>20</v>
      </c>
      <c r="H214" s="4" t="s">
        <v>19</v>
      </c>
      <c r="I214" s="7" t="s">
        <v>21</v>
      </c>
      <c r="J214" s="2" t="s">
        <v>22</v>
      </c>
      <c r="K214" s="2" t="s">
        <v>514</v>
      </c>
      <c r="L214" s="6" t="s">
        <v>24</v>
      </c>
      <c r="M214" s="8" t="s">
        <v>622</v>
      </c>
      <c r="N214" s="2" t="s">
        <v>22</v>
      </c>
      <c r="O214" s="6" t="s">
        <v>26</v>
      </c>
      <c r="P214" s="8" t="s">
        <v>27</v>
      </c>
      <c r="Q214" s="8" t="s">
        <v>629</v>
      </c>
    </row>
    <row r="215" customFormat="false" ht="23.85" hidden="false" customHeight="false" outlineLevel="0" collapsed="false">
      <c r="A215" s="2" t="s">
        <v>606</v>
      </c>
      <c r="B215" s="2" t="s">
        <v>630</v>
      </c>
      <c r="C215" s="3" t="n">
        <v>36.95</v>
      </c>
      <c r="D215" s="3" t="n">
        <v>-84.22</v>
      </c>
      <c r="E215" s="4" t="s">
        <v>19</v>
      </c>
      <c r="F215" s="5" t="n">
        <v>1012</v>
      </c>
      <c r="G215" s="6" t="s">
        <v>20</v>
      </c>
      <c r="H215" s="4" t="s">
        <v>19</v>
      </c>
      <c r="I215" s="7" t="s">
        <v>21</v>
      </c>
      <c r="J215" s="2" t="s">
        <v>22</v>
      </c>
      <c r="K215" s="2" t="s">
        <v>631</v>
      </c>
      <c r="L215" s="6" t="s">
        <v>24</v>
      </c>
      <c r="M215" s="8" t="s">
        <v>616</v>
      </c>
      <c r="N215" s="2" t="s">
        <v>41</v>
      </c>
      <c r="O215" s="9" t="s">
        <v>42</v>
      </c>
      <c r="P215" s="8" t="s">
        <v>43</v>
      </c>
      <c r="Q215" s="8" t="s">
        <v>632</v>
      </c>
    </row>
    <row r="216" customFormat="false" ht="23.85" hidden="false" customHeight="false" outlineLevel="0" collapsed="false">
      <c r="A216" s="2" t="s">
        <v>606</v>
      </c>
      <c r="B216" s="2" t="s">
        <v>633</v>
      </c>
      <c r="C216" s="3" t="n">
        <v>38.12</v>
      </c>
      <c r="D216" s="3" t="n">
        <v>-83.52</v>
      </c>
      <c r="E216" s="4" t="s">
        <v>19</v>
      </c>
      <c r="F216" s="5" t="n">
        <v>730</v>
      </c>
      <c r="G216" s="6" t="s">
        <v>20</v>
      </c>
      <c r="H216" s="4" t="s">
        <v>19</v>
      </c>
      <c r="I216" s="7" t="s">
        <v>21</v>
      </c>
      <c r="J216" s="2" t="s">
        <v>22</v>
      </c>
      <c r="K216" s="2" t="s">
        <v>634</v>
      </c>
      <c r="L216" s="6" t="s">
        <v>24</v>
      </c>
      <c r="M216" s="8" t="s">
        <v>635</v>
      </c>
      <c r="N216" s="2" t="s">
        <v>22</v>
      </c>
      <c r="O216" s="6" t="s">
        <v>26</v>
      </c>
      <c r="P216" s="8" t="s">
        <v>27</v>
      </c>
      <c r="Q216" s="8" t="s">
        <v>636</v>
      </c>
    </row>
    <row r="217" customFormat="false" ht="23.85" hidden="false" customHeight="false" outlineLevel="0" collapsed="false">
      <c r="A217" s="2" t="s">
        <v>606</v>
      </c>
      <c r="B217" s="2" t="s">
        <v>637</v>
      </c>
      <c r="C217" s="3" t="n">
        <v>37.75</v>
      </c>
      <c r="D217" s="3" t="n">
        <v>-84.7</v>
      </c>
      <c r="E217" s="4" t="s">
        <v>19</v>
      </c>
      <c r="F217" s="5" t="n">
        <v>760</v>
      </c>
      <c r="G217" s="6" t="s">
        <v>20</v>
      </c>
      <c r="H217" s="10" t="s">
        <v>49</v>
      </c>
      <c r="I217" s="7" t="s">
        <v>21</v>
      </c>
      <c r="J217" s="2" t="s">
        <v>22</v>
      </c>
      <c r="K217" s="2" t="s">
        <v>638</v>
      </c>
      <c r="L217" s="9" t="s">
        <v>36</v>
      </c>
      <c r="M217" s="8" t="s">
        <v>639</v>
      </c>
      <c r="N217" s="2" t="s">
        <v>41</v>
      </c>
      <c r="O217" s="9" t="s">
        <v>42</v>
      </c>
      <c r="P217" s="8" t="s">
        <v>43</v>
      </c>
      <c r="Q217" s="8" t="s">
        <v>640</v>
      </c>
    </row>
    <row r="218" customFormat="false" ht="23.85" hidden="false" customHeight="false" outlineLevel="0" collapsed="false">
      <c r="A218" s="2" t="s">
        <v>606</v>
      </c>
      <c r="B218" s="2" t="s">
        <v>641</v>
      </c>
      <c r="C218" s="3" t="n">
        <v>38.02</v>
      </c>
      <c r="D218" s="3" t="n">
        <v>-85.25</v>
      </c>
      <c r="E218" s="4" t="s">
        <v>19</v>
      </c>
      <c r="F218" s="5" t="n">
        <v>547</v>
      </c>
      <c r="G218" s="6" t="s">
        <v>20</v>
      </c>
      <c r="H218" s="4" t="s">
        <v>19</v>
      </c>
      <c r="I218" s="7" t="s">
        <v>21</v>
      </c>
      <c r="J218" s="2" t="s">
        <v>22</v>
      </c>
      <c r="K218" s="2" t="s">
        <v>514</v>
      </c>
      <c r="L218" s="6" t="s">
        <v>24</v>
      </c>
      <c r="M218" s="8" t="s">
        <v>622</v>
      </c>
      <c r="N218" s="2" t="s">
        <v>22</v>
      </c>
      <c r="O218" s="6" t="s">
        <v>26</v>
      </c>
      <c r="P218" s="8" t="s">
        <v>27</v>
      </c>
      <c r="Q218" s="8" t="s">
        <v>123</v>
      </c>
    </row>
    <row r="219" customFormat="false" ht="23.85" hidden="false" customHeight="false" outlineLevel="0" collapsed="false">
      <c r="A219" s="2" t="s">
        <v>606</v>
      </c>
      <c r="B219" s="2" t="s">
        <v>642</v>
      </c>
      <c r="C219" s="3" t="n">
        <v>37.34</v>
      </c>
      <c r="D219" s="3" t="n">
        <v>-83.4</v>
      </c>
      <c r="E219" s="10" t="s">
        <v>49</v>
      </c>
      <c r="F219" s="5" t="n">
        <v>782</v>
      </c>
      <c r="G219" s="6" t="s">
        <v>20</v>
      </c>
      <c r="H219" s="10" t="s">
        <v>49</v>
      </c>
      <c r="I219" s="7" t="s">
        <v>21</v>
      </c>
      <c r="J219" s="2" t="s">
        <v>22</v>
      </c>
      <c r="K219" s="2" t="s">
        <v>514</v>
      </c>
      <c r="L219" s="6" t="s">
        <v>24</v>
      </c>
      <c r="M219" s="8" t="s">
        <v>622</v>
      </c>
      <c r="N219" s="2" t="s">
        <v>41</v>
      </c>
      <c r="O219" s="9" t="s">
        <v>42</v>
      </c>
      <c r="P219" s="8" t="s">
        <v>43</v>
      </c>
      <c r="Q219" s="8" t="s">
        <v>643</v>
      </c>
    </row>
    <row r="220" customFormat="false" ht="23.85" hidden="false" customHeight="false" outlineLevel="0" collapsed="false">
      <c r="A220" s="2" t="s">
        <v>644</v>
      </c>
      <c r="B220" s="2" t="s">
        <v>645</v>
      </c>
      <c r="C220" s="3" t="n">
        <v>30.18</v>
      </c>
      <c r="D220" s="3" t="n">
        <v>-90.1</v>
      </c>
      <c r="E220" s="4" t="s">
        <v>19</v>
      </c>
      <c r="F220" s="5" t="n">
        <v>1</v>
      </c>
      <c r="G220" s="11" t="s">
        <v>67</v>
      </c>
      <c r="H220" s="10" t="s">
        <v>49</v>
      </c>
      <c r="I220" s="13" t="s">
        <v>69</v>
      </c>
      <c r="J220" s="2" t="s">
        <v>70</v>
      </c>
      <c r="K220" s="2" t="s">
        <v>646</v>
      </c>
      <c r="L220" s="9" t="s">
        <v>36</v>
      </c>
      <c r="M220" s="8" t="s">
        <v>432</v>
      </c>
      <c r="N220" s="2" t="s">
        <v>22</v>
      </c>
      <c r="O220" s="6" t="s">
        <v>26</v>
      </c>
      <c r="P220" s="8" t="s">
        <v>27</v>
      </c>
      <c r="Q220" s="8" t="s">
        <v>647</v>
      </c>
    </row>
    <row r="221" customFormat="false" ht="23.85" hidden="false" customHeight="false" outlineLevel="0" collapsed="false">
      <c r="A221" s="2" t="s">
        <v>644</v>
      </c>
      <c r="B221" s="2" t="s">
        <v>648</v>
      </c>
      <c r="C221" s="3" t="n">
        <v>30.27</v>
      </c>
      <c r="D221" s="3" t="n">
        <v>-90.5</v>
      </c>
      <c r="E221" s="4" t="s">
        <v>19</v>
      </c>
      <c r="F221" s="5" t="n">
        <v>1</v>
      </c>
      <c r="G221" s="11" t="s">
        <v>67</v>
      </c>
      <c r="H221" s="10" t="s">
        <v>49</v>
      </c>
      <c r="I221" s="13" t="s">
        <v>69</v>
      </c>
      <c r="J221" s="2" t="s">
        <v>70</v>
      </c>
      <c r="K221" s="2" t="s">
        <v>649</v>
      </c>
      <c r="L221" s="9" t="s">
        <v>36</v>
      </c>
      <c r="M221" s="8" t="s">
        <v>432</v>
      </c>
      <c r="N221" s="2" t="s">
        <v>41</v>
      </c>
      <c r="O221" s="9" t="s">
        <v>42</v>
      </c>
      <c r="P221" s="8" t="s">
        <v>43</v>
      </c>
      <c r="Q221" s="8" t="s">
        <v>650</v>
      </c>
    </row>
    <row r="222" customFormat="false" ht="23.85" hidden="false" customHeight="false" outlineLevel="0" collapsed="false">
      <c r="A222" s="2" t="s">
        <v>644</v>
      </c>
      <c r="B222" s="2" t="s">
        <v>651</v>
      </c>
      <c r="C222" s="3" t="n">
        <v>31.4</v>
      </c>
      <c r="D222" s="3" t="n">
        <v>-93.6</v>
      </c>
      <c r="E222" s="4" t="s">
        <v>19</v>
      </c>
      <c r="F222" s="5" t="n">
        <v>172</v>
      </c>
      <c r="G222" s="6" t="s">
        <v>20</v>
      </c>
      <c r="H222" s="4" t="s">
        <v>19</v>
      </c>
      <c r="I222" s="7" t="s">
        <v>21</v>
      </c>
      <c r="J222" s="2" t="s">
        <v>22</v>
      </c>
      <c r="K222" s="2" t="s">
        <v>652</v>
      </c>
      <c r="L222" s="6" t="s">
        <v>24</v>
      </c>
      <c r="M222" s="8" t="s">
        <v>653</v>
      </c>
      <c r="N222" s="2" t="s">
        <v>22</v>
      </c>
      <c r="O222" s="6" t="s">
        <v>26</v>
      </c>
      <c r="P222" s="8" t="s">
        <v>27</v>
      </c>
      <c r="Q222" s="8" t="s">
        <v>654</v>
      </c>
    </row>
    <row r="223" customFormat="false" ht="23.85" hidden="false" customHeight="false" outlineLevel="0" collapsed="false">
      <c r="A223" s="2" t="s">
        <v>644</v>
      </c>
      <c r="B223" s="2" t="s">
        <v>655</v>
      </c>
      <c r="C223" s="3" t="n">
        <v>32.7</v>
      </c>
      <c r="D223" s="3" t="n">
        <v>-93.92</v>
      </c>
      <c r="E223" s="4" t="s">
        <v>19</v>
      </c>
      <c r="F223" s="5" t="n">
        <v>168.5</v>
      </c>
      <c r="G223" s="6" t="s">
        <v>20</v>
      </c>
      <c r="H223" s="10" t="s">
        <v>49</v>
      </c>
      <c r="I223" s="13" t="s">
        <v>69</v>
      </c>
      <c r="J223" s="2" t="s">
        <v>70</v>
      </c>
      <c r="K223" s="2" t="s">
        <v>656</v>
      </c>
      <c r="L223" s="9" t="s">
        <v>36</v>
      </c>
      <c r="M223" s="8" t="s">
        <v>432</v>
      </c>
      <c r="N223" s="2" t="s">
        <v>22</v>
      </c>
      <c r="O223" s="6" t="s">
        <v>26</v>
      </c>
      <c r="P223" s="8" t="s">
        <v>27</v>
      </c>
      <c r="Q223" s="8" t="s">
        <v>657</v>
      </c>
    </row>
    <row r="224" customFormat="false" ht="23.85" hidden="false" customHeight="false" outlineLevel="0" collapsed="false">
      <c r="A224" s="2" t="s">
        <v>644</v>
      </c>
      <c r="B224" s="2" t="s">
        <v>230</v>
      </c>
      <c r="C224" s="3" t="n">
        <v>29.92</v>
      </c>
      <c r="D224" s="3" t="n">
        <v>-92.83</v>
      </c>
      <c r="E224" s="10" t="s">
        <v>49</v>
      </c>
      <c r="F224" s="5" t="n">
        <v>3</v>
      </c>
      <c r="G224" s="11" t="s">
        <v>67</v>
      </c>
      <c r="H224" s="12" t="s">
        <v>68</v>
      </c>
      <c r="I224" s="13" t="s">
        <v>69</v>
      </c>
      <c r="J224" s="2" t="s">
        <v>70</v>
      </c>
      <c r="K224" s="2" t="s">
        <v>658</v>
      </c>
      <c r="L224" s="9" t="s">
        <v>36</v>
      </c>
      <c r="M224" s="8" t="s">
        <v>432</v>
      </c>
      <c r="N224" s="2" t="s">
        <v>41</v>
      </c>
      <c r="O224" s="9" t="s">
        <v>42</v>
      </c>
      <c r="P224" s="8" t="s">
        <v>43</v>
      </c>
      <c r="Q224" s="8" t="s">
        <v>659</v>
      </c>
    </row>
    <row r="225" customFormat="false" ht="23.85" hidden="false" customHeight="false" outlineLevel="0" collapsed="false">
      <c r="A225" s="2" t="s">
        <v>644</v>
      </c>
      <c r="B225" s="2" t="s">
        <v>660</v>
      </c>
      <c r="C225" s="3" t="n">
        <v>29.74</v>
      </c>
      <c r="D225" s="3" t="n">
        <v>-92.5</v>
      </c>
      <c r="E225" s="4" t="s">
        <v>19</v>
      </c>
      <c r="F225" s="5" t="n">
        <v>1</v>
      </c>
      <c r="G225" s="11" t="s">
        <v>67</v>
      </c>
      <c r="H225" s="12" t="s">
        <v>68</v>
      </c>
      <c r="I225" s="13" t="s">
        <v>69</v>
      </c>
      <c r="J225" s="2" t="s">
        <v>70</v>
      </c>
      <c r="K225" s="2" t="s">
        <v>661</v>
      </c>
      <c r="L225" s="9" t="s">
        <v>36</v>
      </c>
      <c r="M225" s="8" t="s">
        <v>432</v>
      </c>
      <c r="N225" s="2" t="s">
        <v>41</v>
      </c>
      <c r="O225" s="9" t="s">
        <v>42</v>
      </c>
      <c r="P225" s="8" t="s">
        <v>43</v>
      </c>
      <c r="Q225" s="8" t="s">
        <v>662</v>
      </c>
    </row>
    <row r="226" customFormat="false" ht="23.85" hidden="false" customHeight="false" outlineLevel="0" collapsed="false">
      <c r="A226" s="2" t="s">
        <v>644</v>
      </c>
      <c r="B226" s="2" t="s">
        <v>663</v>
      </c>
      <c r="C226" s="3" t="n">
        <v>29.9</v>
      </c>
      <c r="D226" s="3" t="n">
        <v>-93.31</v>
      </c>
      <c r="E226" s="4" t="s">
        <v>19</v>
      </c>
      <c r="F226" s="5" t="n">
        <v>1</v>
      </c>
      <c r="G226" s="11" t="s">
        <v>67</v>
      </c>
      <c r="H226" s="12" t="s">
        <v>68</v>
      </c>
      <c r="I226" s="13" t="s">
        <v>69</v>
      </c>
      <c r="J226" s="2" t="s">
        <v>70</v>
      </c>
      <c r="K226" s="2" t="s">
        <v>664</v>
      </c>
      <c r="L226" s="9" t="s">
        <v>36</v>
      </c>
      <c r="M226" s="8" t="s">
        <v>432</v>
      </c>
      <c r="N226" s="2" t="s">
        <v>41</v>
      </c>
      <c r="O226" s="9" t="s">
        <v>42</v>
      </c>
      <c r="P226" s="8" t="s">
        <v>43</v>
      </c>
      <c r="Q226" s="8" t="s">
        <v>665</v>
      </c>
    </row>
    <row r="227" customFormat="false" ht="23.85" hidden="false" customHeight="false" outlineLevel="0" collapsed="false">
      <c r="A227" s="2" t="s">
        <v>644</v>
      </c>
      <c r="B227" s="2" t="s">
        <v>666</v>
      </c>
      <c r="C227" s="3" t="n">
        <v>29.85</v>
      </c>
      <c r="D227" s="3" t="n">
        <v>-93.85</v>
      </c>
      <c r="E227" s="4" t="s">
        <v>19</v>
      </c>
      <c r="F227" s="5" t="n">
        <v>1</v>
      </c>
      <c r="G227" s="11" t="s">
        <v>67</v>
      </c>
      <c r="H227" s="12" t="s">
        <v>68</v>
      </c>
      <c r="I227" s="13" t="s">
        <v>69</v>
      </c>
      <c r="J227" s="2" t="s">
        <v>70</v>
      </c>
      <c r="K227" s="2" t="s">
        <v>664</v>
      </c>
      <c r="L227" s="9" t="s">
        <v>36</v>
      </c>
      <c r="M227" s="8" t="s">
        <v>432</v>
      </c>
      <c r="N227" s="2" t="s">
        <v>41</v>
      </c>
      <c r="O227" s="9" t="s">
        <v>42</v>
      </c>
      <c r="P227" s="8" t="s">
        <v>43</v>
      </c>
      <c r="Q227" s="8" t="s">
        <v>667</v>
      </c>
    </row>
    <row r="228" customFormat="false" ht="23.85" hidden="false" customHeight="false" outlineLevel="0" collapsed="false">
      <c r="A228" s="2" t="s">
        <v>644</v>
      </c>
      <c r="B228" s="2" t="s">
        <v>668</v>
      </c>
      <c r="C228" s="3" t="n">
        <v>32.4</v>
      </c>
      <c r="D228" s="3" t="n">
        <v>-93.4</v>
      </c>
      <c r="E228" s="4" t="s">
        <v>19</v>
      </c>
      <c r="F228" s="5" t="n">
        <v>141.5</v>
      </c>
      <c r="G228" s="6" t="s">
        <v>20</v>
      </c>
      <c r="H228" s="10" t="s">
        <v>49</v>
      </c>
      <c r="I228" s="7" t="s">
        <v>21</v>
      </c>
      <c r="J228" s="2" t="s">
        <v>22</v>
      </c>
      <c r="K228" s="2" t="s">
        <v>669</v>
      </c>
      <c r="L228" s="9" t="s">
        <v>36</v>
      </c>
      <c r="M228" s="8" t="s">
        <v>432</v>
      </c>
      <c r="N228" s="2" t="s">
        <v>41</v>
      </c>
      <c r="O228" s="9" t="s">
        <v>42</v>
      </c>
      <c r="P228" s="8" t="s">
        <v>43</v>
      </c>
      <c r="Q228" s="8" t="s">
        <v>670</v>
      </c>
    </row>
    <row r="229" customFormat="false" ht="23.85" hidden="false" customHeight="false" outlineLevel="0" collapsed="false">
      <c r="A229" s="2" t="s">
        <v>644</v>
      </c>
      <c r="B229" s="2" t="s">
        <v>671</v>
      </c>
      <c r="C229" s="3" t="n">
        <v>32.53</v>
      </c>
      <c r="D229" s="3" t="n">
        <v>-93.85</v>
      </c>
      <c r="E229" s="4" t="s">
        <v>19</v>
      </c>
      <c r="F229" s="5" t="n">
        <v>172</v>
      </c>
      <c r="G229" s="6" t="s">
        <v>20</v>
      </c>
      <c r="H229" s="10" t="s">
        <v>49</v>
      </c>
      <c r="I229" s="7" t="s">
        <v>21</v>
      </c>
      <c r="J229" s="2" t="s">
        <v>22</v>
      </c>
      <c r="K229" s="2" t="s">
        <v>672</v>
      </c>
      <c r="L229" s="14" t="s">
        <v>72</v>
      </c>
      <c r="M229" s="8" t="s">
        <v>673</v>
      </c>
      <c r="N229" s="2" t="s">
        <v>41</v>
      </c>
      <c r="O229" s="9" t="s">
        <v>42</v>
      </c>
      <c r="P229" s="8" t="s">
        <v>43</v>
      </c>
      <c r="Q229" s="8" t="s">
        <v>674</v>
      </c>
    </row>
    <row r="230" customFormat="false" ht="23.85" hidden="false" customHeight="false" outlineLevel="0" collapsed="false">
      <c r="A230" s="2" t="s">
        <v>644</v>
      </c>
      <c r="B230" s="2" t="s">
        <v>675</v>
      </c>
      <c r="C230" s="3" t="n">
        <v>31.53</v>
      </c>
      <c r="D230" s="3" t="n">
        <v>-92.12</v>
      </c>
      <c r="E230" s="4" t="s">
        <v>19</v>
      </c>
      <c r="F230" s="5" t="n">
        <v>30</v>
      </c>
      <c r="G230" s="11" t="s">
        <v>67</v>
      </c>
      <c r="H230" s="12" t="s">
        <v>68</v>
      </c>
      <c r="I230" s="13" t="s">
        <v>69</v>
      </c>
      <c r="J230" s="2" t="s">
        <v>70</v>
      </c>
      <c r="K230" s="2" t="s">
        <v>676</v>
      </c>
      <c r="L230" s="9" t="s">
        <v>36</v>
      </c>
      <c r="M230" s="8" t="s">
        <v>432</v>
      </c>
      <c r="N230" s="2" t="s">
        <v>22</v>
      </c>
      <c r="O230" s="6" t="s">
        <v>26</v>
      </c>
      <c r="P230" s="8" t="s">
        <v>27</v>
      </c>
      <c r="Q230" s="8" t="s">
        <v>677</v>
      </c>
    </row>
    <row r="231" customFormat="false" ht="23.85" hidden="false" customHeight="false" outlineLevel="0" collapsed="false">
      <c r="A231" s="2" t="s">
        <v>644</v>
      </c>
      <c r="B231" s="2" t="s">
        <v>678</v>
      </c>
      <c r="C231" s="3" t="n">
        <v>32.71</v>
      </c>
      <c r="D231" s="3" t="n">
        <v>-92.46</v>
      </c>
      <c r="E231" s="4" t="s">
        <v>19</v>
      </c>
      <c r="F231" s="5" t="n">
        <v>80</v>
      </c>
      <c r="G231" s="6" t="s">
        <v>20</v>
      </c>
      <c r="H231" s="10" t="s">
        <v>49</v>
      </c>
      <c r="I231" s="7" t="s">
        <v>21</v>
      </c>
      <c r="J231" s="2" t="s">
        <v>22</v>
      </c>
      <c r="K231" s="2" t="s">
        <v>679</v>
      </c>
      <c r="L231" s="9" t="s">
        <v>36</v>
      </c>
      <c r="M231" s="8" t="s">
        <v>432</v>
      </c>
      <c r="N231" s="2" t="s">
        <v>41</v>
      </c>
      <c r="O231" s="9" t="s">
        <v>42</v>
      </c>
      <c r="P231" s="8" t="s">
        <v>43</v>
      </c>
      <c r="Q231" s="8" t="s">
        <v>680</v>
      </c>
    </row>
    <row r="232" customFormat="false" ht="23.85" hidden="false" customHeight="false" outlineLevel="0" collapsed="false">
      <c r="A232" s="2" t="s">
        <v>644</v>
      </c>
      <c r="B232" s="2" t="s">
        <v>681</v>
      </c>
      <c r="C232" s="3" t="n">
        <v>30.72</v>
      </c>
      <c r="D232" s="3" t="n">
        <v>-91.43</v>
      </c>
      <c r="E232" s="4" t="s">
        <v>19</v>
      </c>
      <c r="F232" s="5" t="n">
        <v>20</v>
      </c>
      <c r="G232" s="11" t="s">
        <v>67</v>
      </c>
      <c r="H232" s="12" t="s">
        <v>68</v>
      </c>
      <c r="I232" s="13" t="s">
        <v>69</v>
      </c>
      <c r="J232" s="2" t="s">
        <v>70</v>
      </c>
      <c r="K232" s="2" t="s">
        <v>682</v>
      </c>
      <c r="L232" s="14" t="s">
        <v>72</v>
      </c>
      <c r="M232" s="8" t="s">
        <v>683</v>
      </c>
      <c r="N232" s="2" t="s">
        <v>70</v>
      </c>
      <c r="O232" s="9" t="s">
        <v>42</v>
      </c>
      <c r="P232" s="8" t="s">
        <v>43</v>
      </c>
      <c r="Q232" s="8" t="s">
        <v>684</v>
      </c>
    </row>
    <row r="233" customFormat="false" ht="23.85" hidden="false" customHeight="false" outlineLevel="0" collapsed="false">
      <c r="A233" s="2" t="s">
        <v>644</v>
      </c>
      <c r="B233" s="2" t="s">
        <v>685</v>
      </c>
      <c r="C233" s="3" t="n">
        <v>30.32</v>
      </c>
      <c r="D233" s="3" t="n">
        <v>-91.76</v>
      </c>
      <c r="E233" s="10" t="s">
        <v>49</v>
      </c>
      <c r="F233" s="5" t="n">
        <v>10</v>
      </c>
      <c r="G233" s="11" t="s">
        <v>67</v>
      </c>
      <c r="H233" s="12" t="s">
        <v>68</v>
      </c>
      <c r="I233" s="13" t="s">
        <v>69</v>
      </c>
      <c r="J233" s="2" t="s">
        <v>70</v>
      </c>
      <c r="K233" s="2" t="s">
        <v>658</v>
      </c>
      <c r="L233" s="9" t="s">
        <v>36</v>
      </c>
      <c r="M233" s="8" t="s">
        <v>432</v>
      </c>
      <c r="N233" s="2" t="s">
        <v>41</v>
      </c>
      <c r="O233" s="9" t="s">
        <v>42</v>
      </c>
      <c r="P233" s="8" t="s">
        <v>43</v>
      </c>
      <c r="Q233" s="8" t="s">
        <v>686</v>
      </c>
    </row>
    <row r="234" customFormat="false" ht="23.85" hidden="false" customHeight="false" outlineLevel="0" collapsed="false">
      <c r="A234" s="2" t="s">
        <v>687</v>
      </c>
      <c r="B234" s="2" t="s">
        <v>688</v>
      </c>
      <c r="C234" s="3" t="n">
        <v>45.6</v>
      </c>
      <c r="D234" s="3" t="n">
        <v>-69.7</v>
      </c>
      <c r="E234" s="4" t="s">
        <v>19</v>
      </c>
      <c r="F234" s="5" t="n">
        <v>1029</v>
      </c>
      <c r="G234" s="11" t="s">
        <v>67</v>
      </c>
      <c r="H234" s="4" t="s">
        <v>19</v>
      </c>
      <c r="I234" s="13" t="s">
        <v>69</v>
      </c>
      <c r="J234" s="2" t="s">
        <v>70</v>
      </c>
      <c r="K234" s="2" t="s">
        <v>689</v>
      </c>
      <c r="L234" s="9" t="s">
        <v>36</v>
      </c>
      <c r="M234" s="8" t="s">
        <v>432</v>
      </c>
      <c r="N234" s="2" t="s">
        <v>22</v>
      </c>
      <c r="O234" s="6" t="s">
        <v>26</v>
      </c>
      <c r="P234" s="8" t="s">
        <v>27</v>
      </c>
      <c r="Q234" s="8" t="s">
        <v>690</v>
      </c>
    </row>
    <row r="235" customFormat="false" ht="23.85" hidden="false" customHeight="false" outlineLevel="0" collapsed="false">
      <c r="A235" s="2" t="s">
        <v>687</v>
      </c>
      <c r="B235" s="2" t="s">
        <v>691</v>
      </c>
      <c r="C235" s="3" t="n">
        <v>43.85</v>
      </c>
      <c r="D235" s="3" t="n">
        <v>-70.56</v>
      </c>
      <c r="E235" s="4" t="s">
        <v>19</v>
      </c>
      <c r="F235" s="5" t="n">
        <v>270</v>
      </c>
      <c r="G235" s="11" t="s">
        <v>67</v>
      </c>
      <c r="H235" s="4" t="s">
        <v>19</v>
      </c>
      <c r="I235" s="13" t="s">
        <v>69</v>
      </c>
      <c r="J235" s="2" t="s">
        <v>70</v>
      </c>
      <c r="K235" s="2" t="s">
        <v>692</v>
      </c>
      <c r="L235" s="9" t="s">
        <v>36</v>
      </c>
      <c r="M235" s="8" t="s">
        <v>432</v>
      </c>
      <c r="N235" s="2" t="s">
        <v>22</v>
      </c>
      <c r="O235" s="15" t="s">
        <v>104</v>
      </c>
      <c r="P235" s="8" t="s">
        <v>105</v>
      </c>
      <c r="Q235" s="8" t="s">
        <v>693</v>
      </c>
    </row>
    <row r="236" customFormat="false" ht="23.85" hidden="false" customHeight="false" outlineLevel="0" collapsed="false">
      <c r="A236" s="2" t="s">
        <v>687</v>
      </c>
      <c r="B236" s="2" t="s">
        <v>694</v>
      </c>
      <c r="C236" s="3" t="n">
        <v>46.05</v>
      </c>
      <c r="D236" s="3" t="n">
        <v>-69.4</v>
      </c>
      <c r="E236" s="4" t="s">
        <v>19</v>
      </c>
      <c r="F236" s="5" t="n">
        <v>942</v>
      </c>
      <c r="G236" s="6" t="s">
        <v>20</v>
      </c>
      <c r="H236" s="10" t="s">
        <v>49</v>
      </c>
      <c r="I236" s="13" t="s">
        <v>69</v>
      </c>
      <c r="J236" s="2" t="s">
        <v>70</v>
      </c>
      <c r="K236" s="2" t="s">
        <v>695</v>
      </c>
      <c r="L236" s="9" t="s">
        <v>36</v>
      </c>
      <c r="M236" s="8" t="s">
        <v>432</v>
      </c>
      <c r="N236" s="2" t="s">
        <v>41</v>
      </c>
      <c r="O236" s="9" t="s">
        <v>42</v>
      </c>
      <c r="P236" s="8" t="s">
        <v>43</v>
      </c>
      <c r="Q236" s="8" t="s">
        <v>696</v>
      </c>
    </row>
    <row r="237" customFormat="false" ht="23.85" hidden="false" customHeight="false" outlineLevel="0" collapsed="false">
      <c r="A237" s="2" t="s">
        <v>687</v>
      </c>
      <c r="B237" s="2" t="s">
        <v>697</v>
      </c>
      <c r="C237" s="3" t="n">
        <v>45.18</v>
      </c>
      <c r="D237" s="3" t="n">
        <v>-70.33</v>
      </c>
      <c r="E237" s="4" t="s">
        <v>19</v>
      </c>
      <c r="F237" s="5" t="n">
        <v>1146</v>
      </c>
      <c r="G237" s="6" t="s">
        <v>20</v>
      </c>
      <c r="H237" s="12" t="s">
        <v>68</v>
      </c>
      <c r="I237" s="7" t="s">
        <v>21</v>
      </c>
      <c r="J237" s="2" t="s">
        <v>22</v>
      </c>
      <c r="K237" s="2" t="s">
        <v>698</v>
      </c>
      <c r="L237" s="9" t="s">
        <v>36</v>
      </c>
      <c r="M237" s="8" t="s">
        <v>432</v>
      </c>
      <c r="N237" s="2" t="s">
        <v>41</v>
      </c>
      <c r="O237" s="9" t="s">
        <v>42</v>
      </c>
      <c r="P237" s="8" t="s">
        <v>43</v>
      </c>
      <c r="Q237" s="8" t="s">
        <v>699</v>
      </c>
    </row>
    <row r="238" customFormat="false" ht="23.85" hidden="false" customHeight="false" outlineLevel="0" collapsed="false">
      <c r="A238" s="2" t="s">
        <v>687</v>
      </c>
      <c r="B238" s="2" t="s">
        <v>700</v>
      </c>
      <c r="C238" s="3" t="n">
        <v>44.96</v>
      </c>
      <c r="D238" s="3" t="n">
        <v>-70.7</v>
      </c>
      <c r="E238" s="4" t="s">
        <v>19</v>
      </c>
      <c r="F238" s="5" t="n">
        <v>1518</v>
      </c>
      <c r="G238" s="11" t="s">
        <v>67</v>
      </c>
      <c r="H238" s="4" t="s">
        <v>19</v>
      </c>
      <c r="I238" s="13" t="s">
        <v>69</v>
      </c>
      <c r="J238" s="2" t="s">
        <v>70</v>
      </c>
      <c r="K238" s="2" t="s">
        <v>701</v>
      </c>
      <c r="L238" s="14" t="s">
        <v>72</v>
      </c>
      <c r="M238" s="8" t="s">
        <v>702</v>
      </c>
      <c r="N238" s="2" t="s">
        <v>70</v>
      </c>
      <c r="O238" s="9" t="s">
        <v>42</v>
      </c>
      <c r="P238" s="8" t="s">
        <v>43</v>
      </c>
      <c r="Q238" s="8" t="s">
        <v>703</v>
      </c>
    </row>
    <row r="239" customFormat="false" ht="23.85" hidden="false" customHeight="false" outlineLevel="0" collapsed="false">
      <c r="A239" s="2" t="s">
        <v>687</v>
      </c>
      <c r="B239" s="2" t="s">
        <v>704</v>
      </c>
      <c r="C239" s="3" t="n">
        <v>44.9</v>
      </c>
      <c r="D239" s="3" t="n">
        <v>-70.8</v>
      </c>
      <c r="E239" s="4" t="s">
        <v>19</v>
      </c>
      <c r="F239" s="5" t="n">
        <v>1467</v>
      </c>
      <c r="G239" s="11" t="s">
        <v>67</v>
      </c>
      <c r="H239" s="4" t="s">
        <v>19</v>
      </c>
      <c r="I239" s="13" t="s">
        <v>69</v>
      </c>
      <c r="J239" s="2" t="s">
        <v>70</v>
      </c>
      <c r="K239" s="2" t="s">
        <v>705</v>
      </c>
      <c r="L239" s="14" t="s">
        <v>72</v>
      </c>
      <c r="M239" s="8" t="s">
        <v>702</v>
      </c>
      <c r="N239" s="2" t="s">
        <v>70</v>
      </c>
      <c r="O239" s="9" t="s">
        <v>42</v>
      </c>
      <c r="P239" s="8" t="s">
        <v>43</v>
      </c>
      <c r="Q239" s="8" t="s">
        <v>706</v>
      </c>
    </row>
    <row r="240" customFormat="false" ht="23.85" hidden="false" customHeight="false" outlineLevel="0" collapsed="false">
      <c r="A240" s="2" t="s">
        <v>687</v>
      </c>
      <c r="B240" s="2" t="s">
        <v>707</v>
      </c>
      <c r="C240" s="3" t="n">
        <v>45.23</v>
      </c>
      <c r="D240" s="3" t="n">
        <v>-67.85</v>
      </c>
      <c r="E240" s="4" t="s">
        <v>19</v>
      </c>
      <c r="F240" s="5" t="n">
        <v>259</v>
      </c>
      <c r="G240" s="11" t="s">
        <v>67</v>
      </c>
      <c r="H240" s="12" t="s">
        <v>68</v>
      </c>
      <c r="I240" s="13" t="s">
        <v>69</v>
      </c>
      <c r="J240" s="2" t="s">
        <v>70</v>
      </c>
      <c r="K240" s="2" t="s">
        <v>708</v>
      </c>
      <c r="L240" s="9" t="s">
        <v>36</v>
      </c>
      <c r="M240" s="8" t="s">
        <v>432</v>
      </c>
      <c r="N240" s="2" t="s">
        <v>41</v>
      </c>
      <c r="O240" s="9" t="s">
        <v>42</v>
      </c>
      <c r="P240" s="8" t="s">
        <v>43</v>
      </c>
      <c r="Q240" s="8" t="s">
        <v>709</v>
      </c>
    </row>
    <row r="241" customFormat="false" ht="23.85" hidden="false" customHeight="false" outlineLevel="0" collapsed="false">
      <c r="A241" s="2" t="s">
        <v>687</v>
      </c>
      <c r="B241" s="2" t="s">
        <v>710</v>
      </c>
      <c r="C241" s="3" t="n">
        <v>46.22</v>
      </c>
      <c r="D241" s="3" t="n">
        <v>-69.3</v>
      </c>
      <c r="E241" s="4" t="s">
        <v>19</v>
      </c>
      <c r="F241" s="5" t="n">
        <v>940</v>
      </c>
      <c r="G241" s="11" t="s">
        <v>67</v>
      </c>
      <c r="H241" s="12" t="s">
        <v>68</v>
      </c>
      <c r="I241" s="13" t="s">
        <v>69</v>
      </c>
      <c r="J241" s="2" t="s">
        <v>70</v>
      </c>
      <c r="K241" s="2" t="s">
        <v>711</v>
      </c>
      <c r="L241" s="14" t="s">
        <v>72</v>
      </c>
      <c r="M241" s="8" t="s">
        <v>712</v>
      </c>
      <c r="N241" s="2" t="s">
        <v>70</v>
      </c>
      <c r="O241" s="9" t="s">
        <v>42</v>
      </c>
      <c r="P241" s="8" t="s">
        <v>43</v>
      </c>
      <c r="Q241" s="8" t="s">
        <v>713</v>
      </c>
    </row>
    <row r="242" customFormat="false" ht="23.85" hidden="false" customHeight="false" outlineLevel="0" collapsed="false">
      <c r="A242" s="2" t="s">
        <v>687</v>
      </c>
      <c r="B242" s="2" t="s">
        <v>714</v>
      </c>
      <c r="C242" s="3" t="n">
        <v>45.45</v>
      </c>
      <c r="D242" s="3" t="n">
        <v>-69.1</v>
      </c>
      <c r="E242" s="4" t="s">
        <v>19</v>
      </c>
      <c r="F242" s="5" t="n">
        <v>400</v>
      </c>
      <c r="G242" s="11" t="s">
        <v>67</v>
      </c>
      <c r="H242" s="12" t="s">
        <v>68</v>
      </c>
      <c r="I242" s="13" t="s">
        <v>69</v>
      </c>
      <c r="J242" s="2" t="s">
        <v>70</v>
      </c>
      <c r="K242" s="2" t="s">
        <v>715</v>
      </c>
      <c r="L242" s="14" t="s">
        <v>72</v>
      </c>
      <c r="M242" s="8" t="s">
        <v>716</v>
      </c>
      <c r="N242" s="2" t="s">
        <v>70</v>
      </c>
      <c r="O242" s="9" t="s">
        <v>42</v>
      </c>
      <c r="P242" s="8" t="s">
        <v>43</v>
      </c>
      <c r="Q242" s="8" t="s">
        <v>717</v>
      </c>
    </row>
    <row r="243" customFormat="false" ht="23.85" hidden="false" customHeight="false" outlineLevel="0" collapsed="false">
      <c r="A243" s="2" t="s">
        <v>687</v>
      </c>
      <c r="B243" s="2" t="s">
        <v>718</v>
      </c>
      <c r="C243" s="3" t="n">
        <v>45.32</v>
      </c>
      <c r="D243" s="3" t="n">
        <v>-69.25</v>
      </c>
      <c r="E243" s="4" t="s">
        <v>19</v>
      </c>
      <c r="F243" s="5" t="n">
        <v>300</v>
      </c>
      <c r="G243" s="11" t="s">
        <v>67</v>
      </c>
      <c r="H243" s="12" t="s">
        <v>68</v>
      </c>
      <c r="I243" s="13" t="s">
        <v>69</v>
      </c>
      <c r="J243" s="2" t="s">
        <v>70</v>
      </c>
      <c r="K243" s="2" t="s">
        <v>719</v>
      </c>
      <c r="L243" s="14" t="s">
        <v>72</v>
      </c>
      <c r="M243" s="8" t="s">
        <v>716</v>
      </c>
      <c r="N243" s="2" t="s">
        <v>70</v>
      </c>
      <c r="O243" s="9" t="s">
        <v>42</v>
      </c>
      <c r="P243" s="8" t="s">
        <v>43</v>
      </c>
      <c r="Q243" s="8" t="s">
        <v>720</v>
      </c>
    </row>
    <row r="244" customFormat="false" ht="23.85" hidden="false" customHeight="false" outlineLevel="0" collapsed="false">
      <c r="A244" s="2" t="s">
        <v>687</v>
      </c>
      <c r="B244" s="2" t="s">
        <v>721</v>
      </c>
      <c r="C244" s="3" t="n">
        <v>44.05</v>
      </c>
      <c r="D244" s="3" t="n">
        <v>-70.59</v>
      </c>
      <c r="E244" s="10" t="s">
        <v>49</v>
      </c>
      <c r="F244" s="5" t="n">
        <v>279</v>
      </c>
      <c r="G244" s="11" t="s">
        <v>67</v>
      </c>
      <c r="H244" s="12" t="s">
        <v>68</v>
      </c>
      <c r="I244" s="13" t="s">
        <v>69</v>
      </c>
      <c r="J244" s="2" t="s">
        <v>70</v>
      </c>
      <c r="K244" s="2" t="s">
        <v>649</v>
      </c>
      <c r="L244" s="14" t="s">
        <v>72</v>
      </c>
      <c r="M244" s="8" t="s">
        <v>716</v>
      </c>
      <c r="N244" s="2" t="s">
        <v>70</v>
      </c>
      <c r="O244" s="9" t="s">
        <v>42</v>
      </c>
      <c r="P244" s="8" t="s">
        <v>43</v>
      </c>
      <c r="Q244" s="8" t="s">
        <v>717</v>
      </c>
    </row>
    <row r="245" customFormat="false" ht="23.85" hidden="false" customHeight="false" outlineLevel="0" collapsed="false">
      <c r="A245" s="2" t="s">
        <v>687</v>
      </c>
      <c r="B245" s="2" t="s">
        <v>722</v>
      </c>
      <c r="C245" s="3" t="n">
        <v>44.44</v>
      </c>
      <c r="D245" s="3" t="n">
        <v>-69.55</v>
      </c>
      <c r="E245" s="4" t="s">
        <v>19</v>
      </c>
      <c r="F245" s="5" t="n">
        <v>190</v>
      </c>
      <c r="G245" s="11" t="s">
        <v>67</v>
      </c>
      <c r="H245" s="12" t="s">
        <v>68</v>
      </c>
      <c r="I245" s="13" t="s">
        <v>69</v>
      </c>
      <c r="J245" s="2" t="s">
        <v>70</v>
      </c>
      <c r="K245" s="2" t="s">
        <v>719</v>
      </c>
      <c r="L245" s="14" t="s">
        <v>72</v>
      </c>
      <c r="M245" s="8" t="s">
        <v>716</v>
      </c>
      <c r="N245" s="2" t="s">
        <v>70</v>
      </c>
      <c r="O245" s="9" t="s">
        <v>42</v>
      </c>
      <c r="P245" s="8" t="s">
        <v>43</v>
      </c>
      <c r="Q245" s="8" t="s">
        <v>723</v>
      </c>
    </row>
    <row r="246" customFormat="false" ht="23.85" hidden="false" customHeight="false" outlineLevel="0" collapsed="false">
      <c r="A246" s="2" t="s">
        <v>687</v>
      </c>
      <c r="B246" s="2" t="s">
        <v>724</v>
      </c>
      <c r="C246" s="3" t="n">
        <v>44.55</v>
      </c>
      <c r="D246" s="3" t="n">
        <v>-69.86</v>
      </c>
      <c r="E246" s="4" t="s">
        <v>19</v>
      </c>
      <c r="F246" s="5" t="n">
        <v>240</v>
      </c>
      <c r="G246" s="11" t="s">
        <v>67</v>
      </c>
      <c r="H246" s="12" t="s">
        <v>68</v>
      </c>
      <c r="I246" s="13" t="s">
        <v>69</v>
      </c>
      <c r="J246" s="2" t="s">
        <v>70</v>
      </c>
      <c r="K246" s="2" t="s">
        <v>715</v>
      </c>
      <c r="L246" s="14" t="s">
        <v>72</v>
      </c>
      <c r="M246" s="8" t="s">
        <v>716</v>
      </c>
      <c r="N246" s="2" t="s">
        <v>70</v>
      </c>
      <c r="O246" s="9" t="s">
        <v>42</v>
      </c>
      <c r="P246" s="8" t="s">
        <v>43</v>
      </c>
      <c r="Q246" s="8" t="s">
        <v>725</v>
      </c>
    </row>
    <row r="247" customFormat="false" ht="23.85" hidden="false" customHeight="false" outlineLevel="0" collapsed="false">
      <c r="A247" s="2" t="s">
        <v>687</v>
      </c>
      <c r="B247" s="2" t="s">
        <v>726</v>
      </c>
      <c r="C247" s="3" t="n">
        <v>44.1</v>
      </c>
      <c r="D247" s="3" t="n">
        <v>-69.48</v>
      </c>
      <c r="E247" s="4" t="s">
        <v>19</v>
      </c>
      <c r="F247" s="5" t="n">
        <v>52</v>
      </c>
      <c r="G247" s="11" t="s">
        <v>67</v>
      </c>
      <c r="H247" s="12" t="s">
        <v>68</v>
      </c>
      <c r="I247" s="13" t="s">
        <v>69</v>
      </c>
      <c r="J247" s="2" t="s">
        <v>70</v>
      </c>
      <c r="K247" s="2" t="s">
        <v>727</v>
      </c>
      <c r="L247" s="14" t="s">
        <v>72</v>
      </c>
      <c r="M247" s="8" t="s">
        <v>716</v>
      </c>
      <c r="N247" s="2" t="s">
        <v>70</v>
      </c>
      <c r="O247" s="9" t="s">
        <v>42</v>
      </c>
      <c r="P247" s="8" t="s">
        <v>43</v>
      </c>
      <c r="Q247" s="8" t="s">
        <v>728</v>
      </c>
    </row>
    <row r="248" customFormat="false" ht="23.85" hidden="false" customHeight="false" outlineLevel="0" collapsed="false">
      <c r="A248" s="2" t="s">
        <v>729</v>
      </c>
      <c r="B248" s="2" t="s">
        <v>730</v>
      </c>
      <c r="C248" s="3" t="n">
        <v>39.5</v>
      </c>
      <c r="D248" s="3" t="n">
        <v>-79.3</v>
      </c>
      <c r="E248" s="4" t="s">
        <v>19</v>
      </c>
      <c r="F248" s="5" t="n">
        <v>2462</v>
      </c>
      <c r="G248" s="6" t="s">
        <v>20</v>
      </c>
      <c r="H248" s="4" t="s">
        <v>19</v>
      </c>
      <c r="I248" s="7" t="s">
        <v>21</v>
      </c>
      <c r="J248" s="2" t="s">
        <v>22</v>
      </c>
      <c r="K248" s="2" t="s">
        <v>689</v>
      </c>
      <c r="L248" s="9" t="s">
        <v>36</v>
      </c>
      <c r="M248" s="8" t="s">
        <v>731</v>
      </c>
      <c r="N248" s="2" t="s">
        <v>22</v>
      </c>
      <c r="O248" s="6" t="s">
        <v>26</v>
      </c>
      <c r="P248" s="8" t="s">
        <v>27</v>
      </c>
      <c r="Q248" s="8" t="s">
        <v>732</v>
      </c>
    </row>
    <row r="249" customFormat="false" ht="23.85" hidden="false" customHeight="false" outlineLevel="0" collapsed="false">
      <c r="A249" s="2" t="s">
        <v>729</v>
      </c>
      <c r="B249" s="2" t="s">
        <v>733</v>
      </c>
      <c r="C249" s="3" t="n">
        <v>39.42</v>
      </c>
      <c r="D249" s="3" t="n">
        <v>-76.9</v>
      </c>
      <c r="E249" s="4" t="s">
        <v>19</v>
      </c>
      <c r="F249" s="5" t="n">
        <v>420</v>
      </c>
      <c r="G249" s="6" t="s">
        <v>20</v>
      </c>
      <c r="H249" s="4" t="s">
        <v>19</v>
      </c>
      <c r="I249" s="7" t="s">
        <v>21</v>
      </c>
      <c r="J249" s="2" t="s">
        <v>22</v>
      </c>
      <c r="K249" s="2" t="s">
        <v>734</v>
      </c>
      <c r="L249" s="14" t="s">
        <v>72</v>
      </c>
      <c r="M249" s="8" t="s">
        <v>735</v>
      </c>
      <c r="N249" s="2" t="s">
        <v>41</v>
      </c>
      <c r="O249" s="9" t="s">
        <v>42</v>
      </c>
      <c r="P249" s="8" t="s">
        <v>43</v>
      </c>
      <c r="Q249" s="8" t="s">
        <v>736</v>
      </c>
    </row>
    <row r="250" customFormat="false" ht="23.85" hidden="false" customHeight="false" outlineLevel="0" collapsed="false">
      <c r="A250" s="2" t="s">
        <v>729</v>
      </c>
      <c r="B250" s="2" t="s">
        <v>737</v>
      </c>
      <c r="C250" s="3" t="n">
        <v>39.62</v>
      </c>
      <c r="D250" s="3" t="n">
        <v>-76.73</v>
      </c>
      <c r="E250" s="4" t="s">
        <v>19</v>
      </c>
      <c r="F250" s="5" t="n">
        <v>520</v>
      </c>
      <c r="G250" s="6" t="s">
        <v>20</v>
      </c>
      <c r="H250" s="4" t="s">
        <v>19</v>
      </c>
      <c r="I250" s="7" t="s">
        <v>21</v>
      </c>
      <c r="J250" s="2" t="s">
        <v>22</v>
      </c>
      <c r="K250" s="2" t="s">
        <v>734</v>
      </c>
      <c r="L250" s="14" t="s">
        <v>72</v>
      </c>
      <c r="M250" s="8" t="s">
        <v>735</v>
      </c>
      <c r="N250" s="2" t="s">
        <v>41</v>
      </c>
      <c r="O250" s="9" t="s">
        <v>42</v>
      </c>
      <c r="P250" s="8" t="s">
        <v>43</v>
      </c>
      <c r="Q250" s="8" t="s">
        <v>738</v>
      </c>
    </row>
    <row r="251" customFormat="false" ht="23.85" hidden="false" customHeight="false" outlineLevel="0" collapsed="false">
      <c r="A251" s="2" t="s">
        <v>729</v>
      </c>
      <c r="B251" s="2" t="s">
        <v>739</v>
      </c>
      <c r="C251" s="3" t="n">
        <v>39.47</v>
      </c>
      <c r="D251" s="3" t="n">
        <v>-76.55</v>
      </c>
      <c r="E251" s="4" t="s">
        <v>19</v>
      </c>
      <c r="F251" s="5" t="n">
        <v>240</v>
      </c>
      <c r="G251" s="6" t="s">
        <v>20</v>
      </c>
      <c r="H251" s="4" t="s">
        <v>19</v>
      </c>
      <c r="I251" s="7" t="s">
        <v>21</v>
      </c>
      <c r="J251" s="2" t="s">
        <v>22</v>
      </c>
      <c r="K251" s="2" t="s">
        <v>734</v>
      </c>
      <c r="L251" s="9" t="s">
        <v>36</v>
      </c>
      <c r="M251" s="8" t="s">
        <v>740</v>
      </c>
      <c r="N251" s="2" t="s">
        <v>22</v>
      </c>
      <c r="O251" s="6" t="s">
        <v>26</v>
      </c>
      <c r="P251" s="8" t="s">
        <v>27</v>
      </c>
      <c r="Q251" s="8" t="s">
        <v>738</v>
      </c>
    </row>
    <row r="252" customFormat="false" ht="23.85" hidden="false" customHeight="false" outlineLevel="0" collapsed="false">
      <c r="A252" s="2" t="s">
        <v>729</v>
      </c>
      <c r="B252" s="2" t="s">
        <v>741</v>
      </c>
      <c r="C252" s="3" t="n">
        <v>39.22</v>
      </c>
      <c r="D252" s="3" t="n">
        <v>-77.03</v>
      </c>
      <c r="E252" s="4" t="s">
        <v>19</v>
      </c>
      <c r="F252" s="5" t="n">
        <v>420</v>
      </c>
      <c r="G252" s="6" t="s">
        <v>20</v>
      </c>
      <c r="H252" s="12" t="s">
        <v>68</v>
      </c>
      <c r="I252" s="7" t="s">
        <v>21</v>
      </c>
      <c r="J252" s="2" t="s">
        <v>22</v>
      </c>
      <c r="K252" s="2" t="s">
        <v>742</v>
      </c>
      <c r="L252" s="14" t="s">
        <v>72</v>
      </c>
      <c r="M252" s="8" t="s">
        <v>735</v>
      </c>
      <c r="N252" s="2" t="s">
        <v>41</v>
      </c>
      <c r="O252" s="9" t="s">
        <v>42</v>
      </c>
      <c r="P252" s="8" t="s">
        <v>43</v>
      </c>
      <c r="Q252" s="8" t="s">
        <v>743</v>
      </c>
    </row>
    <row r="253" customFormat="false" ht="23.85" hidden="false" customHeight="false" outlineLevel="0" collapsed="false">
      <c r="A253" s="2" t="s">
        <v>729</v>
      </c>
      <c r="B253" s="2" t="s">
        <v>744</v>
      </c>
      <c r="C253" s="3" t="n">
        <v>39.13</v>
      </c>
      <c r="D253" s="3" t="n">
        <v>-76.95</v>
      </c>
      <c r="E253" s="10" t="s">
        <v>49</v>
      </c>
      <c r="F253" s="5" t="n">
        <v>290</v>
      </c>
      <c r="G253" s="6" t="s">
        <v>20</v>
      </c>
      <c r="H253" s="12" t="s">
        <v>68</v>
      </c>
      <c r="I253" s="7" t="s">
        <v>21</v>
      </c>
      <c r="J253" s="2" t="s">
        <v>22</v>
      </c>
      <c r="K253" s="2" t="s">
        <v>745</v>
      </c>
      <c r="L253" s="14" t="s">
        <v>72</v>
      </c>
      <c r="M253" s="8" t="s">
        <v>735</v>
      </c>
      <c r="N253" s="2" t="s">
        <v>41</v>
      </c>
      <c r="O253" s="9" t="s">
        <v>42</v>
      </c>
      <c r="P253" s="8" t="s">
        <v>43</v>
      </c>
      <c r="Q253" s="8" t="s">
        <v>743</v>
      </c>
    </row>
    <row r="254" customFormat="false" ht="23.85" hidden="false" customHeight="false" outlineLevel="0" collapsed="false">
      <c r="A254" s="2" t="s">
        <v>729</v>
      </c>
      <c r="B254" s="2" t="s">
        <v>746</v>
      </c>
      <c r="C254" s="3" t="n">
        <v>39.4</v>
      </c>
      <c r="D254" s="3" t="n">
        <v>-77.02</v>
      </c>
      <c r="E254" s="10" t="s">
        <v>49</v>
      </c>
      <c r="F254" s="5" t="n">
        <v>490</v>
      </c>
      <c r="G254" s="6" t="s">
        <v>20</v>
      </c>
      <c r="H254" s="12" t="s">
        <v>68</v>
      </c>
      <c r="I254" s="7" t="s">
        <v>21</v>
      </c>
      <c r="J254" s="2" t="s">
        <v>22</v>
      </c>
      <c r="K254" s="2" t="s">
        <v>747</v>
      </c>
      <c r="L254" s="14" t="s">
        <v>72</v>
      </c>
      <c r="M254" s="8" t="s">
        <v>748</v>
      </c>
      <c r="N254" s="2" t="s">
        <v>70</v>
      </c>
      <c r="O254" s="14" t="s">
        <v>294</v>
      </c>
      <c r="P254" s="8" t="s">
        <v>295</v>
      </c>
      <c r="Q254" s="8" t="s">
        <v>749</v>
      </c>
    </row>
    <row r="255" customFormat="false" ht="23.85" hidden="false" customHeight="false" outlineLevel="0" collapsed="false">
      <c r="A255" s="2" t="s">
        <v>729</v>
      </c>
      <c r="B255" s="2" t="s">
        <v>750</v>
      </c>
      <c r="C255" s="3" t="n">
        <v>39.42</v>
      </c>
      <c r="D255" s="3" t="n">
        <v>-79.12</v>
      </c>
      <c r="E255" s="4" t="s">
        <v>19</v>
      </c>
      <c r="F255" s="5" t="n">
        <v>1466</v>
      </c>
      <c r="G255" s="6" t="s">
        <v>20</v>
      </c>
      <c r="H255" s="10" t="s">
        <v>49</v>
      </c>
      <c r="I255" s="7" t="s">
        <v>21</v>
      </c>
      <c r="J255" s="2" t="s">
        <v>22</v>
      </c>
      <c r="K255" s="2" t="s">
        <v>751</v>
      </c>
      <c r="L255" s="6" t="s">
        <v>24</v>
      </c>
      <c r="M255" s="8" t="s">
        <v>752</v>
      </c>
      <c r="N255" s="2" t="s">
        <v>22</v>
      </c>
      <c r="O255" s="6" t="s">
        <v>26</v>
      </c>
      <c r="P255" s="8" t="s">
        <v>27</v>
      </c>
      <c r="Q255" s="8" t="s">
        <v>753</v>
      </c>
    </row>
    <row r="256" customFormat="false" ht="23.85" hidden="false" customHeight="false" outlineLevel="0" collapsed="false">
      <c r="A256" s="2" t="s">
        <v>729</v>
      </c>
      <c r="B256" s="2" t="s">
        <v>754</v>
      </c>
      <c r="C256" s="3" t="n">
        <v>39.7</v>
      </c>
      <c r="D256" s="3" t="n">
        <v>-79.36</v>
      </c>
      <c r="E256" s="4" t="s">
        <v>19</v>
      </c>
      <c r="F256" s="5" t="n">
        <v>1439</v>
      </c>
      <c r="G256" s="6" t="s">
        <v>20</v>
      </c>
      <c r="H256" s="4" t="s">
        <v>19</v>
      </c>
      <c r="I256" s="7" t="s">
        <v>21</v>
      </c>
      <c r="J256" s="2" t="s">
        <v>22</v>
      </c>
      <c r="K256" s="2" t="s">
        <v>755</v>
      </c>
      <c r="L256" s="6" t="s">
        <v>24</v>
      </c>
      <c r="M256" s="8" t="s">
        <v>756</v>
      </c>
      <c r="N256" s="2" t="s">
        <v>22</v>
      </c>
      <c r="O256" s="6" t="s">
        <v>26</v>
      </c>
      <c r="P256" s="8" t="s">
        <v>27</v>
      </c>
      <c r="Q256" s="8" t="s">
        <v>757</v>
      </c>
    </row>
    <row r="257" customFormat="false" ht="23.85" hidden="false" customHeight="false" outlineLevel="0" collapsed="false">
      <c r="A257" s="2" t="s">
        <v>729</v>
      </c>
      <c r="B257" s="2" t="s">
        <v>758</v>
      </c>
      <c r="C257" s="3" t="n">
        <v>39.7</v>
      </c>
      <c r="D257" s="3" t="n">
        <v>-78.65</v>
      </c>
      <c r="E257" s="10" t="s">
        <v>49</v>
      </c>
      <c r="F257" s="5" t="n">
        <v>875</v>
      </c>
      <c r="G257" s="6" t="s">
        <v>20</v>
      </c>
      <c r="H257" s="12" t="s">
        <v>68</v>
      </c>
      <c r="I257" s="7" t="s">
        <v>21</v>
      </c>
      <c r="J257" s="2" t="s">
        <v>22</v>
      </c>
      <c r="K257" s="2" t="s">
        <v>759</v>
      </c>
      <c r="L257" s="14" t="s">
        <v>72</v>
      </c>
      <c r="M257" s="8" t="s">
        <v>716</v>
      </c>
      <c r="N257" s="2" t="s">
        <v>70</v>
      </c>
      <c r="O257" s="14" t="s">
        <v>294</v>
      </c>
      <c r="P257" s="8" t="s">
        <v>295</v>
      </c>
      <c r="Q257" s="8" t="s">
        <v>760</v>
      </c>
    </row>
    <row r="258" customFormat="false" ht="23.85" hidden="false" customHeight="false" outlineLevel="0" collapsed="false">
      <c r="A258" s="2" t="s">
        <v>729</v>
      </c>
      <c r="B258" s="2" t="s">
        <v>761</v>
      </c>
      <c r="C258" s="3" t="n">
        <v>39.5</v>
      </c>
      <c r="D258" s="3" t="n">
        <v>-79.13</v>
      </c>
      <c r="E258" s="4" t="s">
        <v>19</v>
      </c>
      <c r="F258" s="5" t="n">
        <v>1456</v>
      </c>
      <c r="G258" s="6" t="s">
        <v>20</v>
      </c>
      <c r="H258" s="12" t="s">
        <v>68</v>
      </c>
      <c r="I258" s="7" t="s">
        <v>21</v>
      </c>
      <c r="J258" s="2" t="s">
        <v>22</v>
      </c>
      <c r="K258" s="2" t="s">
        <v>762</v>
      </c>
      <c r="L258" s="9" t="s">
        <v>36</v>
      </c>
      <c r="M258" s="8" t="s">
        <v>763</v>
      </c>
      <c r="N258" s="2" t="s">
        <v>22</v>
      </c>
      <c r="O258" s="6" t="s">
        <v>26</v>
      </c>
      <c r="P258" s="8" t="s">
        <v>27</v>
      </c>
      <c r="Q258" s="8" t="s">
        <v>764</v>
      </c>
    </row>
    <row r="259" customFormat="false" ht="23.85" hidden="false" customHeight="false" outlineLevel="0" collapsed="false">
      <c r="A259" s="2" t="s">
        <v>729</v>
      </c>
      <c r="B259" s="2" t="s">
        <v>765</v>
      </c>
      <c r="C259" s="3" t="n">
        <v>39.66</v>
      </c>
      <c r="D259" s="3" t="n">
        <v>-76.17</v>
      </c>
      <c r="E259" s="10" t="s">
        <v>49</v>
      </c>
      <c r="F259" s="5" t="n">
        <v>109.2</v>
      </c>
      <c r="G259" s="6" t="s">
        <v>20</v>
      </c>
      <c r="H259" s="10" t="s">
        <v>49</v>
      </c>
      <c r="I259" s="7" t="s">
        <v>21</v>
      </c>
      <c r="J259" s="2" t="s">
        <v>22</v>
      </c>
      <c r="K259" s="2" t="s">
        <v>766</v>
      </c>
      <c r="L259" s="9" t="s">
        <v>36</v>
      </c>
      <c r="M259" s="8" t="s">
        <v>767</v>
      </c>
      <c r="N259" s="2" t="s">
        <v>22</v>
      </c>
      <c r="O259" s="6" t="s">
        <v>26</v>
      </c>
      <c r="P259" s="8" t="s">
        <v>27</v>
      </c>
      <c r="Q259" s="8" t="s">
        <v>768</v>
      </c>
    </row>
    <row r="260" customFormat="false" ht="23.85" hidden="false" customHeight="false" outlineLevel="0" collapsed="false">
      <c r="A260" s="2" t="s">
        <v>769</v>
      </c>
      <c r="B260" s="2" t="s">
        <v>770</v>
      </c>
      <c r="C260" s="3" t="n">
        <v>42.3736</v>
      </c>
      <c r="D260" s="3" t="n">
        <v>-72.3369</v>
      </c>
      <c r="E260" s="4" t="s">
        <v>19</v>
      </c>
      <c r="F260" s="5" t="n">
        <v>530</v>
      </c>
      <c r="G260" s="6" t="s">
        <v>20</v>
      </c>
      <c r="H260" s="4" t="s">
        <v>19</v>
      </c>
      <c r="I260" s="7" t="s">
        <v>21</v>
      </c>
      <c r="J260" s="2" t="s">
        <v>22</v>
      </c>
      <c r="K260" s="2" t="s">
        <v>771</v>
      </c>
      <c r="L260" s="14" t="s">
        <v>72</v>
      </c>
      <c r="M260" s="8" t="s">
        <v>772</v>
      </c>
      <c r="N260" s="2" t="s">
        <v>41</v>
      </c>
      <c r="O260" s="9" t="s">
        <v>42</v>
      </c>
      <c r="P260" s="8" t="s">
        <v>43</v>
      </c>
      <c r="Q260" s="8" t="s">
        <v>773</v>
      </c>
    </row>
    <row r="261" customFormat="false" ht="23.85" hidden="false" customHeight="false" outlineLevel="0" collapsed="false">
      <c r="A261" s="2" t="s">
        <v>769</v>
      </c>
      <c r="B261" s="2" t="s">
        <v>774</v>
      </c>
      <c r="C261" s="3" t="n">
        <v>42.39</v>
      </c>
      <c r="D261" s="3" t="n">
        <v>-71.75</v>
      </c>
      <c r="E261" s="4" t="s">
        <v>19</v>
      </c>
      <c r="F261" s="5" t="n">
        <v>395</v>
      </c>
      <c r="G261" s="6" t="s">
        <v>20</v>
      </c>
      <c r="H261" s="10" t="s">
        <v>49</v>
      </c>
      <c r="I261" s="7" t="s">
        <v>21</v>
      </c>
      <c r="J261" s="2" t="s">
        <v>22</v>
      </c>
      <c r="K261" s="2" t="s">
        <v>775</v>
      </c>
      <c r="L261" s="14" t="s">
        <v>72</v>
      </c>
      <c r="M261" s="8" t="s">
        <v>776</v>
      </c>
      <c r="N261" s="2" t="s">
        <v>41</v>
      </c>
      <c r="O261" s="9" t="s">
        <v>42</v>
      </c>
      <c r="P261" s="8" t="s">
        <v>43</v>
      </c>
      <c r="Q261" s="8" t="s">
        <v>777</v>
      </c>
    </row>
    <row r="262" customFormat="false" ht="23.85" hidden="false" customHeight="false" outlineLevel="0" collapsed="false">
      <c r="A262" s="2" t="s">
        <v>769</v>
      </c>
      <c r="B262" s="2" t="s">
        <v>778</v>
      </c>
      <c r="C262" s="3" t="n">
        <v>42.05</v>
      </c>
      <c r="D262" s="3" t="n">
        <v>-71.825</v>
      </c>
      <c r="E262" s="10" t="s">
        <v>49</v>
      </c>
      <c r="F262" s="5" t="n">
        <v>463</v>
      </c>
      <c r="G262" s="11" t="s">
        <v>67</v>
      </c>
      <c r="H262" s="12" t="s">
        <v>68</v>
      </c>
      <c r="I262" s="13" t="s">
        <v>69</v>
      </c>
      <c r="J262" s="2" t="s">
        <v>70</v>
      </c>
      <c r="K262" s="2" t="s">
        <v>779</v>
      </c>
      <c r="L262" s="14" t="s">
        <v>72</v>
      </c>
      <c r="M262" s="8" t="s">
        <v>73</v>
      </c>
      <c r="N262" s="2" t="s">
        <v>70</v>
      </c>
      <c r="O262" s="9" t="s">
        <v>42</v>
      </c>
      <c r="P262" s="8" t="s">
        <v>43</v>
      </c>
      <c r="Q262" s="8" t="s">
        <v>780</v>
      </c>
    </row>
    <row r="263" customFormat="false" ht="23.85" hidden="false" customHeight="false" outlineLevel="0" collapsed="false">
      <c r="A263" s="2" t="s">
        <v>769</v>
      </c>
      <c r="B263" s="2" t="s">
        <v>781</v>
      </c>
      <c r="C263" s="3" t="n">
        <v>41.833</v>
      </c>
      <c r="D263" s="3" t="n">
        <v>-70.933</v>
      </c>
      <c r="E263" s="10" t="s">
        <v>49</v>
      </c>
      <c r="F263" s="5" t="n">
        <v>54</v>
      </c>
      <c r="G263" s="11" t="s">
        <v>67</v>
      </c>
      <c r="H263" s="12" t="s">
        <v>68</v>
      </c>
      <c r="I263" s="13" t="s">
        <v>69</v>
      </c>
      <c r="J263" s="2" t="s">
        <v>70</v>
      </c>
      <c r="K263" s="2" t="s">
        <v>782</v>
      </c>
      <c r="L263" s="14" t="s">
        <v>72</v>
      </c>
      <c r="M263" s="8" t="s">
        <v>73</v>
      </c>
      <c r="N263" s="2" t="s">
        <v>70</v>
      </c>
      <c r="O263" s="9" t="s">
        <v>42</v>
      </c>
      <c r="P263" s="8" t="s">
        <v>43</v>
      </c>
      <c r="Q263" s="8" t="s">
        <v>783</v>
      </c>
    </row>
    <row r="264" customFormat="false" ht="23.85" hidden="false" customHeight="false" outlineLevel="0" collapsed="false">
      <c r="A264" s="2" t="s">
        <v>769</v>
      </c>
      <c r="B264" s="2" t="s">
        <v>784</v>
      </c>
      <c r="C264" s="3" t="n">
        <v>41.823</v>
      </c>
      <c r="D264" s="3" t="n">
        <v>-70.91</v>
      </c>
      <c r="E264" s="10" t="s">
        <v>49</v>
      </c>
      <c r="F264" s="5" t="n">
        <v>52</v>
      </c>
      <c r="G264" s="11" t="s">
        <v>67</v>
      </c>
      <c r="H264" s="12" t="s">
        <v>68</v>
      </c>
      <c r="I264" s="13" t="s">
        <v>69</v>
      </c>
      <c r="J264" s="2" t="s">
        <v>70</v>
      </c>
      <c r="K264" s="2" t="s">
        <v>785</v>
      </c>
      <c r="L264" s="14" t="s">
        <v>72</v>
      </c>
      <c r="M264" s="8" t="s">
        <v>73</v>
      </c>
      <c r="N264" s="2" t="s">
        <v>70</v>
      </c>
      <c r="O264" s="9" t="s">
        <v>42</v>
      </c>
      <c r="P264" s="8" t="s">
        <v>43</v>
      </c>
      <c r="Q264" s="8" t="s">
        <v>786</v>
      </c>
    </row>
    <row r="265" customFormat="false" ht="23.85" hidden="false" customHeight="false" outlineLevel="0" collapsed="false">
      <c r="A265" s="2" t="s">
        <v>769</v>
      </c>
      <c r="B265" s="2" t="s">
        <v>787</v>
      </c>
      <c r="C265" s="3" t="n">
        <v>42.47</v>
      </c>
      <c r="D265" s="3" t="n">
        <v>-73.268</v>
      </c>
      <c r="E265" s="10" t="s">
        <v>49</v>
      </c>
      <c r="F265" s="5" t="n">
        <v>1131</v>
      </c>
      <c r="G265" s="11" t="s">
        <v>67</v>
      </c>
      <c r="H265" s="12" t="s">
        <v>68</v>
      </c>
      <c r="I265" s="7" t="s">
        <v>21</v>
      </c>
      <c r="J265" s="2" t="s">
        <v>22</v>
      </c>
      <c r="K265" s="2" t="s">
        <v>788</v>
      </c>
      <c r="L265" s="14" t="s">
        <v>72</v>
      </c>
      <c r="M265" s="8" t="s">
        <v>73</v>
      </c>
      <c r="N265" s="2" t="s">
        <v>70</v>
      </c>
      <c r="O265" s="9" t="s">
        <v>42</v>
      </c>
      <c r="P265" s="8" t="s">
        <v>43</v>
      </c>
      <c r="Q265" s="8" t="s">
        <v>789</v>
      </c>
    </row>
    <row r="266" customFormat="false" ht="23.85" hidden="false" customHeight="false" outlineLevel="0" collapsed="false">
      <c r="A266" s="2" t="s">
        <v>769</v>
      </c>
      <c r="B266" s="2" t="s">
        <v>790</v>
      </c>
      <c r="C266" s="3" t="n">
        <v>42.49</v>
      </c>
      <c r="D266" s="3" t="n">
        <v>-73.251</v>
      </c>
      <c r="E266" s="10" t="s">
        <v>49</v>
      </c>
      <c r="F266" s="5" t="n">
        <v>1101</v>
      </c>
      <c r="G266" s="6" t="s">
        <v>20</v>
      </c>
      <c r="H266" s="12" t="s">
        <v>68</v>
      </c>
      <c r="I266" s="7" t="s">
        <v>21</v>
      </c>
      <c r="J266" s="2" t="s">
        <v>22</v>
      </c>
      <c r="K266" s="2" t="s">
        <v>791</v>
      </c>
      <c r="L266" s="14" t="s">
        <v>72</v>
      </c>
      <c r="M266" s="8" t="s">
        <v>73</v>
      </c>
      <c r="N266" s="2" t="s">
        <v>70</v>
      </c>
      <c r="O266" s="9" t="s">
        <v>42</v>
      </c>
      <c r="P266" s="8" t="s">
        <v>43</v>
      </c>
      <c r="Q266" s="8" t="s">
        <v>792</v>
      </c>
    </row>
    <row r="267" customFormat="false" ht="23.85" hidden="false" customHeight="false" outlineLevel="0" collapsed="false">
      <c r="A267" s="2" t="s">
        <v>769</v>
      </c>
      <c r="B267" s="2" t="s">
        <v>793</v>
      </c>
      <c r="C267" s="3" t="n">
        <v>42.3</v>
      </c>
      <c r="D267" s="3" t="n">
        <v>-71.36</v>
      </c>
      <c r="E267" s="10" t="s">
        <v>49</v>
      </c>
      <c r="F267" s="5" t="n">
        <v>141</v>
      </c>
      <c r="G267" s="11" t="s">
        <v>67</v>
      </c>
      <c r="H267" s="12" t="s">
        <v>68</v>
      </c>
      <c r="I267" s="13" t="s">
        <v>69</v>
      </c>
      <c r="J267" s="2" t="s">
        <v>70</v>
      </c>
      <c r="K267" s="2" t="s">
        <v>794</v>
      </c>
      <c r="L267" s="14" t="s">
        <v>72</v>
      </c>
      <c r="M267" s="8" t="s">
        <v>73</v>
      </c>
      <c r="N267" s="2" t="s">
        <v>70</v>
      </c>
      <c r="O267" s="9" t="s">
        <v>42</v>
      </c>
      <c r="P267" s="8" t="s">
        <v>43</v>
      </c>
      <c r="Q267" s="8" t="s">
        <v>795</v>
      </c>
    </row>
    <row r="268" customFormat="false" ht="23.85" hidden="false" customHeight="false" outlineLevel="0" collapsed="false">
      <c r="A268" s="2" t="s">
        <v>769</v>
      </c>
      <c r="B268" s="2" t="s">
        <v>796</v>
      </c>
      <c r="C268" s="3" t="n">
        <v>41.69</v>
      </c>
      <c r="D268" s="3" t="n">
        <v>-71.1</v>
      </c>
      <c r="E268" s="10" t="s">
        <v>49</v>
      </c>
      <c r="F268" s="5" t="n">
        <v>131</v>
      </c>
      <c r="G268" s="11" t="s">
        <v>67</v>
      </c>
      <c r="H268" s="12" t="s">
        <v>68</v>
      </c>
      <c r="I268" s="13" t="s">
        <v>69</v>
      </c>
      <c r="J268" s="2" t="s">
        <v>70</v>
      </c>
      <c r="K268" s="2" t="s">
        <v>797</v>
      </c>
      <c r="L268" s="14" t="s">
        <v>72</v>
      </c>
      <c r="M268" s="8" t="s">
        <v>73</v>
      </c>
      <c r="N268" s="2" t="s">
        <v>70</v>
      </c>
      <c r="O268" s="9" t="s">
        <v>42</v>
      </c>
      <c r="P268" s="8" t="s">
        <v>43</v>
      </c>
      <c r="Q268" s="8" t="s">
        <v>798</v>
      </c>
    </row>
    <row r="269" customFormat="false" ht="23.85" hidden="false" customHeight="false" outlineLevel="0" collapsed="false">
      <c r="A269" s="2" t="s">
        <v>769</v>
      </c>
      <c r="B269" s="2" t="s">
        <v>799</v>
      </c>
      <c r="C269" s="3" t="n">
        <v>42.043</v>
      </c>
      <c r="D269" s="3" t="n">
        <v>-72.757</v>
      </c>
      <c r="E269" s="10" t="s">
        <v>49</v>
      </c>
      <c r="F269" s="5" t="n">
        <v>250</v>
      </c>
      <c r="G269" s="11" t="s">
        <v>67</v>
      </c>
      <c r="H269" s="12" t="s">
        <v>68</v>
      </c>
      <c r="I269" s="13" t="s">
        <v>69</v>
      </c>
      <c r="J269" s="2" t="s">
        <v>70</v>
      </c>
      <c r="K269" s="2" t="s">
        <v>779</v>
      </c>
      <c r="L269" s="14" t="s">
        <v>72</v>
      </c>
      <c r="M269" s="8" t="s">
        <v>73</v>
      </c>
      <c r="N269" s="2" t="s">
        <v>70</v>
      </c>
      <c r="O269" s="9" t="s">
        <v>42</v>
      </c>
      <c r="P269" s="8" t="s">
        <v>43</v>
      </c>
      <c r="Q269" s="8" t="s">
        <v>800</v>
      </c>
    </row>
    <row r="270" customFormat="false" ht="23.85" hidden="false" customHeight="false" outlineLevel="0" collapsed="false">
      <c r="A270" s="2" t="s">
        <v>769</v>
      </c>
      <c r="B270" s="2" t="s">
        <v>801</v>
      </c>
      <c r="C270" s="3" t="n">
        <v>42.178</v>
      </c>
      <c r="D270" s="3" t="n">
        <v>-73.06</v>
      </c>
      <c r="E270" s="10" t="s">
        <v>49</v>
      </c>
      <c r="F270" s="5" t="n">
        <v>1400</v>
      </c>
      <c r="G270" s="6" t="s">
        <v>20</v>
      </c>
      <c r="H270" s="12" t="s">
        <v>68</v>
      </c>
      <c r="I270" s="7" t="s">
        <v>21</v>
      </c>
      <c r="J270" s="2" t="s">
        <v>22</v>
      </c>
      <c r="K270" s="2" t="s">
        <v>802</v>
      </c>
      <c r="L270" s="14" t="s">
        <v>72</v>
      </c>
      <c r="M270" s="8" t="s">
        <v>73</v>
      </c>
      <c r="N270" s="2" t="s">
        <v>70</v>
      </c>
      <c r="O270" s="9" t="s">
        <v>42</v>
      </c>
      <c r="P270" s="8" t="s">
        <v>43</v>
      </c>
      <c r="Q270" s="8" t="s">
        <v>803</v>
      </c>
    </row>
    <row r="271" customFormat="false" ht="23.85" hidden="false" customHeight="false" outlineLevel="0" collapsed="false">
      <c r="A271" s="2" t="s">
        <v>769</v>
      </c>
      <c r="B271" s="2" t="s">
        <v>804</v>
      </c>
      <c r="C271" s="3" t="n">
        <v>42.26</v>
      </c>
      <c r="D271" s="3" t="n">
        <v>-71.777</v>
      </c>
      <c r="E271" s="10" t="s">
        <v>49</v>
      </c>
      <c r="F271" s="5" t="n">
        <v>460</v>
      </c>
      <c r="G271" s="11" t="s">
        <v>67</v>
      </c>
      <c r="H271" s="12" t="s">
        <v>68</v>
      </c>
      <c r="I271" s="13" t="s">
        <v>69</v>
      </c>
      <c r="J271" s="2" t="s">
        <v>70</v>
      </c>
      <c r="K271" s="2" t="s">
        <v>805</v>
      </c>
      <c r="L271" s="14" t="s">
        <v>72</v>
      </c>
      <c r="M271" s="8" t="s">
        <v>73</v>
      </c>
      <c r="N271" s="2" t="s">
        <v>70</v>
      </c>
      <c r="O271" s="9" t="s">
        <v>42</v>
      </c>
      <c r="P271" s="8" t="s">
        <v>43</v>
      </c>
      <c r="Q271" s="8" t="s">
        <v>806</v>
      </c>
    </row>
    <row r="272" customFormat="false" ht="23.85" hidden="false" customHeight="false" outlineLevel="0" collapsed="false">
      <c r="A272" s="2" t="s">
        <v>807</v>
      </c>
      <c r="B272" s="2" t="s">
        <v>808</v>
      </c>
      <c r="C272" s="3" t="n">
        <v>47.45</v>
      </c>
      <c r="D272" s="3" t="n">
        <v>-88.2</v>
      </c>
      <c r="E272" s="4" t="s">
        <v>19</v>
      </c>
      <c r="F272" s="5" t="n">
        <v>601</v>
      </c>
      <c r="G272" s="11" t="s">
        <v>67</v>
      </c>
      <c r="H272" s="4" t="s">
        <v>19</v>
      </c>
      <c r="I272" s="13" t="s">
        <v>69</v>
      </c>
      <c r="J272" s="2" t="s">
        <v>70</v>
      </c>
      <c r="K272" s="2" t="s">
        <v>809</v>
      </c>
      <c r="L272" s="9" t="s">
        <v>36</v>
      </c>
      <c r="M272" s="8" t="s">
        <v>810</v>
      </c>
      <c r="N272" s="2" t="s">
        <v>22</v>
      </c>
      <c r="O272" s="15" t="s">
        <v>104</v>
      </c>
      <c r="P272" s="8" t="s">
        <v>474</v>
      </c>
      <c r="Q272" s="8" t="s">
        <v>811</v>
      </c>
    </row>
    <row r="273" customFormat="false" ht="23.85" hidden="false" customHeight="false" outlineLevel="0" collapsed="false">
      <c r="A273" s="2" t="s">
        <v>807</v>
      </c>
      <c r="B273" s="2" t="s">
        <v>471</v>
      </c>
      <c r="C273" s="3" t="n">
        <v>43.5</v>
      </c>
      <c r="D273" s="3" t="n">
        <v>-86.5</v>
      </c>
      <c r="E273" s="4" t="s">
        <v>19</v>
      </c>
      <c r="F273" s="5" t="n">
        <v>577</v>
      </c>
      <c r="G273" s="11" t="s">
        <v>67</v>
      </c>
      <c r="H273" s="4" t="s">
        <v>19</v>
      </c>
      <c r="I273" s="13" t="s">
        <v>69</v>
      </c>
      <c r="J273" s="2" t="s">
        <v>70</v>
      </c>
      <c r="K273" s="2" t="s">
        <v>812</v>
      </c>
      <c r="L273" s="9" t="s">
        <v>36</v>
      </c>
      <c r="M273" s="8" t="s">
        <v>813</v>
      </c>
      <c r="N273" s="2" t="s">
        <v>22</v>
      </c>
      <c r="O273" s="15" t="s">
        <v>104</v>
      </c>
      <c r="P273" s="8" t="s">
        <v>474</v>
      </c>
      <c r="Q273" s="8" t="s">
        <v>814</v>
      </c>
    </row>
    <row r="274" customFormat="false" ht="23.85" hidden="false" customHeight="false" outlineLevel="0" collapsed="false">
      <c r="A274" s="2" t="s">
        <v>807</v>
      </c>
      <c r="B274" s="2" t="s">
        <v>815</v>
      </c>
      <c r="C274" s="3" t="n">
        <v>44.5</v>
      </c>
      <c r="D274" s="3" t="n">
        <v>-82.9</v>
      </c>
      <c r="E274" s="4" t="s">
        <v>19</v>
      </c>
      <c r="F274" s="5" t="n">
        <v>577</v>
      </c>
      <c r="G274" s="11" t="s">
        <v>67</v>
      </c>
      <c r="H274" s="4" t="s">
        <v>19</v>
      </c>
      <c r="I274" s="13" t="s">
        <v>69</v>
      </c>
      <c r="J274" s="2" t="s">
        <v>70</v>
      </c>
      <c r="K274" s="2" t="s">
        <v>812</v>
      </c>
      <c r="L274" s="9" t="s">
        <v>36</v>
      </c>
      <c r="M274" s="8" t="s">
        <v>816</v>
      </c>
      <c r="N274" s="2" t="s">
        <v>22</v>
      </c>
      <c r="O274" s="15" t="s">
        <v>104</v>
      </c>
      <c r="P274" s="8" t="s">
        <v>474</v>
      </c>
      <c r="Q274" s="8" t="s">
        <v>475</v>
      </c>
    </row>
    <row r="275" customFormat="false" ht="23.85" hidden="false" customHeight="false" outlineLevel="0" collapsed="false">
      <c r="A275" s="2" t="s">
        <v>807</v>
      </c>
      <c r="B275" s="2" t="s">
        <v>817</v>
      </c>
      <c r="C275" s="3" t="n">
        <v>41.82</v>
      </c>
      <c r="D275" s="3" t="n">
        <v>-83.25</v>
      </c>
      <c r="E275" s="4" t="s">
        <v>19</v>
      </c>
      <c r="F275" s="5" t="n">
        <v>571</v>
      </c>
      <c r="G275" s="11" t="s">
        <v>67</v>
      </c>
      <c r="H275" s="4" t="s">
        <v>19</v>
      </c>
      <c r="I275" s="13" t="s">
        <v>69</v>
      </c>
      <c r="J275" s="2" t="s">
        <v>70</v>
      </c>
      <c r="K275" s="2" t="s">
        <v>812</v>
      </c>
      <c r="L275" s="9" t="s">
        <v>36</v>
      </c>
      <c r="M275" s="8" t="s">
        <v>816</v>
      </c>
      <c r="N275" s="2" t="s">
        <v>22</v>
      </c>
      <c r="O275" s="15" t="s">
        <v>104</v>
      </c>
      <c r="P275" s="8" t="s">
        <v>474</v>
      </c>
      <c r="Q275" s="8" t="s">
        <v>475</v>
      </c>
    </row>
    <row r="276" customFormat="false" ht="23.85" hidden="false" customHeight="false" outlineLevel="0" collapsed="false">
      <c r="A276" s="2" t="s">
        <v>807</v>
      </c>
      <c r="B276" s="2" t="s">
        <v>818</v>
      </c>
      <c r="C276" s="3" t="n">
        <v>42.45</v>
      </c>
      <c r="D276" s="3" t="n">
        <v>-82.7</v>
      </c>
      <c r="E276" s="4" t="s">
        <v>19</v>
      </c>
      <c r="F276" s="5" t="n">
        <v>574</v>
      </c>
      <c r="G276" s="11" t="s">
        <v>67</v>
      </c>
      <c r="H276" s="4" t="s">
        <v>19</v>
      </c>
      <c r="I276" s="13" t="s">
        <v>69</v>
      </c>
      <c r="J276" s="2" t="s">
        <v>70</v>
      </c>
      <c r="K276" s="2" t="s">
        <v>812</v>
      </c>
      <c r="L276" s="9" t="s">
        <v>36</v>
      </c>
      <c r="M276" s="8" t="s">
        <v>816</v>
      </c>
      <c r="N276" s="2" t="s">
        <v>22</v>
      </c>
      <c r="O276" s="15" t="s">
        <v>104</v>
      </c>
      <c r="P276" s="8" t="s">
        <v>474</v>
      </c>
      <c r="Q276" s="8" t="s">
        <v>819</v>
      </c>
    </row>
    <row r="277" customFormat="false" ht="23.85" hidden="false" customHeight="false" outlineLevel="0" collapsed="false">
      <c r="A277" s="2" t="s">
        <v>807</v>
      </c>
      <c r="B277" s="2" t="s">
        <v>820</v>
      </c>
      <c r="C277" s="3" t="n">
        <v>44.32</v>
      </c>
      <c r="D277" s="3" t="n">
        <v>-84.75</v>
      </c>
      <c r="E277" s="4" t="s">
        <v>19</v>
      </c>
      <c r="F277" s="5" t="n">
        <v>1139</v>
      </c>
      <c r="G277" s="11" t="s">
        <v>67</v>
      </c>
      <c r="H277" s="10" t="s">
        <v>49</v>
      </c>
      <c r="I277" s="13" t="s">
        <v>69</v>
      </c>
      <c r="J277" s="2" t="s">
        <v>70</v>
      </c>
      <c r="K277" s="2" t="s">
        <v>821</v>
      </c>
      <c r="L277" s="9" t="s">
        <v>36</v>
      </c>
      <c r="M277" s="8" t="s">
        <v>176</v>
      </c>
      <c r="N277" s="2" t="s">
        <v>41</v>
      </c>
      <c r="O277" s="9" t="s">
        <v>42</v>
      </c>
      <c r="P277" s="8" t="s">
        <v>43</v>
      </c>
      <c r="Q277" s="8" t="s">
        <v>822</v>
      </c>
    </row>
    <row r="278" customFormat="false" ht="23.85" hidden="false" customHeight="false" outlineLevel="0" collapsed="false">
      <c r="A278" s="2" t="s">
        <v>807</v>
      </c>
      <c r="B278" s="2" t="s">
        <v>823</v>
      </c>
      <c r="C278" s="3" t="n">
        <v>44.983</v>
      </c>
      <c r="D278" s="3" t="n">
        <v>-85.29</v>
      </c>
      <c r="E278" s="10" t="s">
        <v>49</v>
      </c>
      <c r="F278" s="5" t="n">
        <v>590</v>
      </c>
      <c r="G278" s="11" t="s">
        <v>67</v>
      </c>
      <c r="H278" s="10" t="s">
        <v>49</v>
      </c>
      <c r="I278" s="13" t="s">
        <v>69</v>
      </c>
      <c r="J278" s="2" t="s">
        <v>70</v>
      </c>
      <c r="K278" s="2" t="s">
        <v>73</v>
      </c>
      <c r="L278" s="14" t="s">
        <v>72</v>
      </c>
      <c r="M278" s="8" t="s">
        <v>73</v>
      </c>
      <c r="N278" s="2" t="s">
        <v>70</v>
      </c>
      <c r="O278" s="9" t="s">
        <v>42</v>
      </c>
      <c r="P278" s="8" t="s">
        <v>43</v>
      </c>
      <c r="Q278" s="8" t="s">
        <v>649</v>
      </c>
    </row>
    <row r="279" customFormat="false" ht="23.85" hidden="false" customHeight="false" outlineLevel="0" collapsed="false">
      <c r="A279" s="2" t="s">
        <v>807</v>
      </c>
      <c r="B279" s="2" t="s">
        <v>824</v>
      </c>
      <c r="C279" s="3" t="n">
        <v>45.45</v>
      </c>
      <c r="D279" s="3" t="n">
        <v>-84.65</v>
      </c>
      <c r="E279" s="10" t="s">
        <v>49</v>
      </c>
      <c r="F279" s="5" t="n">
        <v>594</v>
      </c>
      <c r="G279" s="11" t="s">
        <v>67</v>
      </c>
      <c r="H279" s="10" t="s">
        <v>49</v>
      </c>
      <c r="I279" s="13" t="s">
        <v>69</v>
      </c>
      <c r="J279" s="2" t="s">
        <v>70</v>
      </c>
      <c r="K279" s="2" t="s">
        <v>73</v>
      </c>
      <c r="L279" s="14" t="s">
        <v>72</v>
      </c>
      <c r="M279" s="8" t="s">
        <v>73</v>
      </c>
      <c r="N279" s="2" t="s">
        <v>70</v>
      </c>
      <c r="O279" s="9" t="s">
        <v>42</v>
      </c>
      <c r="P279" s="8" t="s">
        <v>43</v>
      </c>
      <c r="Q279" s="8" t="s">
        <v>825</v>
      </c>
    </row>
    <row r="280" customFormat="false" ht="23.85" hidden="false" customHeight="false" outlineLevel="0" collapsed="false">
      <c r="A280" s="2" t="s">
        <v>807</v>
      </c>
      <c r="B280" s="2" t="s">
        <v>826</v>
      </c>
      <c r="C280" s="3" t="n">
        <v>45.53</v>
      </c>
      <c r="D280" s="3" t="n">
        <v>-84.52</v>
      </c>
      <c r="E280" s="10" t="s">
        <v>49</v>
      </c>
      <c r="F280" s="5" t="n">
        <v>594</v>
      </c>
      <c r="G280" s="11" t="s">
        <v>67</v>
      </c>
      <c r="H280" s="10" t="s">
        <v>49</v>
      </c>
      <c r="I280" s="13" t="s">
        <v>69</v>
      </c>
      <c r="J280" s="2" t="s">
        <v>70</v>
      </c>
      <c r="K280" s="2" t="s">
        <v>73</v>
      </c>
      <c r="L280" s="14" t="s">
        <v>72</v>
      </c>
      <c r="M280" s="8" t="s">
        <v>73</v>
      </c>
      <c r="N280" s="2" t="s">
        <v>70</v>
      </c>
      <c r="O280" s="9" t="s">
        <v>42</v>
      </c>
      <c r="P280" s="8" t="s">
        <v>43</v>
      </c>
      <c r="Q280" s="8" t="s">
        <v>825</v>
      </c>
    </row>
    <row r="281" customFormat="false" ht="23.85" hidden="false" customHeight="false" outlineLevel="0" collapsed="false">
      <c r="A281" s="2" t="s">
        <v>807</v>
      </c>
      <c r="B281" s="2" t="s">
        <v>827</v>
      </c>
      <c r="C281" s="3" t="n">
        <v>42.4</v>
      </c>
      <c r="D281" s="3" t="n">
        <v>-85.405</v>
      </c>
      <c r="E281" s="10" t="s">
        <v>49</v>
      </c>
      <c r="F281" s="5" t="n">
        <v>825</v>
      </c>
      <c r="G281" s="11" t="s">
        <v>67</v>
      </c>
      <c r="H281" s="12" t="s">
        <v>68</v>
      </c>
      <c r="I281" s="13" t="s">
        <v>69</v>
      </c>
      <c r="J281" s="2" t="s">
        <v>70</v>
      </c>
      <c r="K281" s="2" t="s">
        <v>73</v>
      </c>
      <c r="L281" s="14" t="s">
        <v>72</v>
      </c>
      <c r="M281" s="8" t="s">
        <v>73</v>
      </c>
      <c r="N281" s="2" t="s">
        <v>70</v>
      </c>
      <c r="O281" s="9" t="s">
        <v>42</v>
      </c>
      <c r="P281" s="8" t="s">
        <v>43</v>
      </c>
      <c r="Q281" s="8" t="s">
        <v>649</v>
      </c>
    </row>
    <row r="282" customFormat="false" ht="23.85" hidden="false" customHeight="false" outlineLevel="0" collapsed="false">
      <c r="A282" s="2" t="s">
        <v>807</v>
      </c>
      <c r="B282" s="2" t="s">
        <v>828</v>
      </c>
      <c r="C282" s="3" t="n">
        <v>44.47</v>
      </c>
      <c r="D282" s="3" t="n">
        <v>-84.725</v>
      </c>
      <c r="E282" s="10" t="s">
        <v>49</v>
      </c>
      <c r="F282" s="5" t="n">
        <v>1150</v>
      </c>
      <c r="G282" s="11" t="s">
        <v>67</v>
      </c>
      <c r="H282" s="10" t="s">
        <v>49</v>
      </c>
      <c r="I282" s="13" t="s">
        <v>69</v>
      </c>
      <c r="J282" s="2" t="s">
        <v>70</v>
      </c>
      <c r="K282" s="2" t="s">
        <v>73</v>
      </c>
      <c r="L282" s="14" t="s">
        <v>72</v>
      </c>
      <c r="M282" s="8" t="s">
        <v>73</v>
      </c>
      <c r="N282" s="2" t="s">
        <v>70</v>
      </c>
      <c r="O282" s="9" t="s">
        <v>42</v>
      </c>
      <c r="P282" s="8" t="s">
        <v>43</v>
      </c>
      <c r="Q282" s="8" t="s">
        <v>649</v>
      </c>
    </row>
    <row r="283" customFormat="false" ht="23.85" hidden="false" customHeight="false" outlineLevel="0" collapsed="false">
      <c r="A283" s="2" t="s">
        <v>807</v>
      </c>
      <c r="B283" s="2" t="s">
        <v>829</v>
      </c>
      <c r="C283" s="3" t="n">
        <v>45.28</v>
      </c>
      <c r="D283" s="3" t="n">
        <v>-85.14</v>
      </c>
      <c r="E283" s="10" t="s">
        <v>49</v>
      </c>
      <c r="F283" s="5" t="n">
        <v>582</v>
      </c>
      <c r="G283" s="11" t="s">
        <v>67</v>
      </c>
      <c r="H283" s="10" t="s">
        <v>49</v>
      </c>
      <c r="I283" s="13" t="s">
        <v>69</v>
      </c>
      <c r="J283" s="2" t="s">
        <v>70</v>
      </c>
      <c r="K283" s="2" t="s">
        <v>73</v>
      </c>
      <c r="L283" s="14" t="s">
        <v>72</v>
      </c>
      <c r="M283" s="8" t="s">
        <v>73</v>
      </c>
      <c r="N283" s="2" t="s">
        <v>70</v>
      </c>
      <c r="O283" s="9" t="s">
        <v>42</v>
      </c>
      <c r="P283" s="8" t="s">
        <v>43</v>
      </c>
      <c r="Q283" s="8" t="s">
        <v>649</v>
      </c>
    </row>
    <row r="284" customFormat="false" ht="23.85" hidden="false" customHeight="false" outlineLevel="0" collapsed="false">
      <c r="A284" s="2" t="s">
        <v>807</v>
      </c>
      <c r="B284" s="2" t="s">
        <v>830</v>
      </c>
      <c r="C284" s="3" t="n">
        <v>44.895</v>
      </c>
      <c r="D284" s="3" t="n">
        <v>-85.37</v>
      </c>
      <c r="E284" s="10" t="s">
        <v>49</v>
      </c>
      <c r="F284" s="5" t="n">
        <v>590</v>
      </c>
      <c r="G284" s="11" t="s">
        <v>67</v>
      </c>
      <c r="H284" s="10" t="s">
        <v>49</v>
      </c>
      <c r="I284" s="13" t="s">
        <v>69</v>
      </c>
      <c r="J284" s="2" t="s">
        <v>70</v>
      </c>
      <c r="K284" s="2" t="s">
        <v>73</v>
      </c>
      <c r="L284" s="14" t="s">
        <v>72</v>
      </c>
      <c r="M284" s="8" t="s">
        <v>73</v>
      </c>
      <c r="N284" s="2" t="s">
        <v>70</v>
      </c>
      <c r="O284" s="9" t="s">
        <v>42</v>
      </c>
      <c r="P284" s="8" t="s">
        <v>43</v>
      </c>
      <c r="Q284" s="8" t="s">
        <v>831</v>
      </c>
    </row>
    <row r="285" customFormat="false" ht="23.85" hidden="false" customHeight="false" outlineLevel="0" collapsed="false">
      <c r="A285" s="2" t="s">
        <v>807</v>
      </c>
      <c r="B285" s="2" t="s">
        <v>832</v>
      </c>
      <c r="C285" s="3" t="n">
        <v>46.49</v>
      </c>
      <c r="D285" s="3" t="n">
        <v>-89.57</v>
      </c>
      <c r="E285" s="10" t="s">
        <v>49</v>
      </c>
      <c r="F285" s="5" t="n">
        <v>1288</v>
      </c>
      <c r="G285" s="11" t="s">
        <v>67</v>
      </c>
      <c r="H285" s="10" t="s">
        <v>49</v>
      </c>
      <c r="I285" s="13" t="s">
        <v>69</v>
      </c>
      <c r="J285" s="2" t="s">
        <v>70</v>
      </c>
      <c r="K285" s="2" t="s">
        <v>805</v>
      </c>
      <c r="L285" s="14" t="s">
        <v>72</v>
      </c>
      <c r="M285" s="8" t="s">
        <v>73</v>
      </c>
      <c r="N285" s="2" t="s">
        <v>70</v>
      </c>
      <c r="O285" s="9" t="s">
        <v>42</v>
      </c>
      <c r="P285" s="8" t="s">
        <v>43</v>
      </c>
      <c r="Q285" s="8" t="s">
        <v>833</v>
      </c>
    </row>
    <row r="286" customFormat="false" ht="23.85" hidden="false" customHeight="false" outlineLevel="0" collapsed="false">
      <c r="A286" s="2" t="s">
        <v>834</v>
      </c>
      <c r="B286" s="2" t="s">
        <v>808</v>
      </c>
      <c r="C286" s="3" t="n">
        <v>47.15</v>
      </c>
      <c r="D286" s="3" t="n">
        <v>-91.4</v>
      </c>
      <c r="E286" s="4" t="s">
        <v>19</v>
      </c>
      <c r="F286" s="5" t="n">
        <v>601</v>
      </c>
      <c r="G286" s="11" t="s">
        <v>67</v>
      </c>
      <c r="H286" s="4" t="s">
        <v>19</v>
      </c>
      <c r="I286" s="13" t="s">
        <v>69</v>
      </c>
      <c r="J286" s="2" t="s">
        <v>70</v>
      </c>
      <c r="K286" s="2" t="s">
        <v>835</v>
      </c>
      <c r="L286" s="9" t="s">
        <v>36</v>
      </c>
      <c r="M286" s="8" t="s">
        <v>816</v>
      </c>
      <c r="N286" s="2" t="s">
        <v>22</v>
      </c>
      <c r="O286" s="15" t="s">
        <v>104</v>
      </c>
      <c r="P286" s="8" t="s">
        <v>474</v>
      </c>
      <c r="Q286" s="8" t="s">
        <v>475</v>
      </c>
    </row>
    <row r="287" customFormat="false" ht="23.85" hidden="false" customHeight="false" outlineLevel="0" collapsed="false">
      <c r="A287" s="2" t="s">
        <v>834</v>
      </c>
      <c r="B287" s="2" t="s">
        <v>836</v>
      </c>
      <c r="C287" s="3" t="n">
        <v>49.2</v>
      </c>
      <c r="D287" s="3" t="n">
        <v>-94.85</v>
      </c>
      <c r="E287" s="4" t="s">
        <v>19</v>
      </c>
      <c r="F287" s="5" t="n">
        <v>1061</v>
      </c>
      <c r="G287" s="11" t="s">
        <v>67</v>
      </c>
      <c r="H287" s="10" t="s">
        <v>49</v>
      </c>
      <c r="I287" s="13" t="s">
        <v>69</v>
      </c>
      <c r="J287" s="2" t="s">
        <v>70</v>
      </c>
      <c r="K287" s="2" t="s">
        <v>837</v>
      </c>
      <c r="L287" s="9" t="s">
        <v>36</v>
      </c>
      <c r="M287" s="8" t="s">
        <v>838</v>
      </c>
      <c r="N287" s="2" t="s">
        <v>41</v>
      </c>
      <c r="O287" s="9" t="s">
        <v>42</v>
      </c>
      <c r="P287" s="8" t="s">
        <v>43</v>
      </c>
      <c r="Q287" s="8" t="s">
        <v>839</v>
      </c>
    </row>
    <row r="288" customFormat="false" ht="23.85" hidden="false" customHeight="false" outlineLevel="0" collapsed="false">
      <c r="A288" s="2" t="s">
        <v>834</v>
      </c>
      <c r="B288" s="2" t="s">
        <v>840</v>
      </c>
      <c r="C288" s="3" t="n">
        <v>48</v>
      </c>
      <c r="D288" s="3" t="n">
        <v>-94.9</v>
      </c>
      <c r="E288" s="4" t="s">
        <v>19</v>
      </c>
      <c r="F288" s="5" t="n">
        <v>1175</v>
      </c>
      <c r="G288" s="11" t="s">
        <v>67</v>
      </c>
      <c r="H288" s="10" t="s">
        <v>49</v>
      </c>
      <c r="I288" s="13" t="s">
        <v>69</v>
      </c>
      <c r="J288" s="2" t="s">
        <v>70</v>
      </c>
      <c r="K288" s="2" t="s">
        <v>841</v>
      </c>
      <c r="L288" s="14" t="s">
        <v>72</v>
      </c>
      <c r="M288" s="8" t="s">
        <v>73</v>
      </c>
      <c r="N288" s="2" t="s">
        <v>70</v>
      </c>
      <c r="O288" s="15" t="s">
        <v>104</v>
      </c>
      <c r="P288" s="8" t="s">
        <v>105</v>
      </c>
      <c r="Q288" s="8" t="s">
        <v>842</v>
      </c>
    </row>
    <row r="289" customFormat="false" ht="23.85" hidden="false" customHeight="false" outlineLevel="0" collapsed="false">
      <c r="A289" s="2" t="s">
        <v>834</v>
      </c>
      <c r="B289" s="2" t="s">
        <v>843</v>
      </c>
      <c r="C289" s="3" t="n">
        <v>46.25</v>
      </c>
      <c r="D289" s="3" t="n">
        <v>-93.65</v>
      </c>
      <c r="E289" s="4" t="s">
        <v>19</v>
      </c>
      <c r="F289" s="5" t="n">
        <v>1250</v>
      </c>
      <c r="G289" s="11" t="s">
        <v>67</v>
      </c>
      <c r="H289" s="10" t="s">
        <v>49</v>
      </c>
      <c r="I289" s="13" t="s">
        <v>69</v>
      </c>
      <c r="J289" s="2" t="s">
        <v>70</v>
      </c>
      <c r="K289" s="2" t="s">
        <v>73</v>
      </c>
      <c r="L289" s="14" t="s">
        <v>72</v>
      </c>
      <c r="M289" s="8" t="s">
        <v>73</v>
      </c>
      <c r="N289" s="2" t="s">
        <v>70</v>
      </c>
      <c r="O289" s="9" t="s">
        <v>42</v>
      </c>
      <c r="P289" s="8" t="s">
        <v>43</v>
      </c>
      <c r="Q289" s="8" t="s">
        <v>844</v>
      </c>
    </row>
    <row r="290" customFormat="false" ht="23.85" hidden="false" customHeight="false" outlineLevel="0" collapsed="false">
      <c r="A290" s="2" t="s">
        <v>834</v>
      </c>
      <c r="B290" s="2" t="s">
        <v>845</v>
      </c>
      <c r="C290" s="3" t="n">
        <v>47.15</v>
      </c>
      <c r="D290" s="3" t="n">
        <v>-94.38</v>
      </c>
      <c r="E290" s="4" t="s">
        <v>19</v>
      </c>
      <c r="F290" s="5" t="n">
        <v>1294</v>
      </c>
      <c r="G290" s="6" t="s">
        <v>20</v>
      </c>
      <c r="H290" s="10" t="s">
        <v>49</v>
      </c>
      <c r="I290" s="13" t="s">
        <v>69</v>
      </c>
      <c r="J290" s="2" t="s">
        <v>70</v>
      </c>
      <c r="K290" s="2" t="s">
        <v>846</v>
      </c>
      <c r="L290" s="9" t="s">
        <v>36</v>
      </c>
      <c r="M290" s="8" t="s">
        <v>847</v>
      </c>
      <c r="N290" s="2" t="s">
        <v>41</v>
      </c>
      <c r="O290" s="9" t="s">
        <v>42</v>
      </c>
      <c r="P290" s="8" t="s">
        <v>43</v>
      </c>
      <c r="Q290" s="8" t="s">
        <v>848</v>
      </c>
    </row>
    <row r="291" customFormat="false" ht="23.85" hidden="false" customHeight="false" outlineLevel="0" collapsed="false">
      <c r="A291" s="2" t="s">
        <v>834</v>
      </c>
      <c r="B291" s="2" t="s">
        <v>849</v>
      </c>
      <c r="C291" s="3" t="n">
        <v>47.42</v>
      </c>
      <c r="D291" s="3" t="n">
        <v>-94.2</v>
      </c>
      <c r="E291" s="10" t="s">
        <v>49</v>
      </c>
      <c r="F291" s="5" t="n">
        <v>1298</v>
      </c>
      <c r="G291" s="6" t="s">
        <v>20</v>
      </c>
      <c r="H291" s="10" t="s">
        <v>49</v>
      </c>
      <c r="I291" s="13" t="s">
        <v>69</v>
      </c>
      <c r="J291" s="2" t="s">
        <v>70</v>
      </c>
      <c r="K291" s="2" t="s">
        <v>850</v>
      </c>
      <c r="L291" s="9" t="s">
        <v>36</v>
      </c>
      <c r="M291" s="8" t="s">
        <v>847</v>
      </c>
      <c r="N291" s="2" t="s">
        <v>41</v>
      </c>
      <c r="O291" s="9" t="s">
        <v>42</v>
      </c>
      <c r="P291" s="8" t="s">
        <v>43</v>
      </c>
      <c r="Q291" s="8" t="s">
        <v>848</v>
      </c>
    </row>
    <row r="292" customFormat="false" ht="23.85" hidden="false" customHeight="false" outlineLevel="0" collapsed="false">
      <c r="A292" s="2" t="s">
        <v>834</v>
      </c>
      <c r="B292" s="2" t="s">
        <v>851</v>
      </c>
      <c r="C292" s="3" t="n">
        <v>47.88</v>
      </c>
      <c r="D292" s="3" t="n">
        <v>-92.4</v>
      </c>
      <c r="E292" s="10" t="s">
        <v>49</v>
      </c>
      <c r="F292" s="5" t="n">
        <v>1350</v>
      </c>
      <c r="G292" s="11" t="s">
        <v>67</v>
      </c>
      <c r="H292" s="10" t="s">
        <v>49</v>
      </c>
      <c r="I292" s="13" t="s">
        <v>69</v>
      </c>
      <c r="J292" s="2" t="s">
        <v>70</v>
      </c>
      <c r="K292" s="2" t="s">
        <v>73</v>
      </c>
      <c r="L292" s="14" t="s">
        <v>72</v>
      </c>
      <c r="M292" s="8" t="s">
        <v>73</v>
      </c>
      <c r="N292" s="2" t="s">
        <v>70</v>
      </c>
      <c r="O292" s="9" t="s">
        <v>42</v>
      </c>
      <c r="P292" s="8" t="s">
        <v>43</v>
      </c>
      <c r="Q292" s="8" t="s">
        <v>649</v>
      </c>
    </row>
    <row r="293" customFormat="false" ht="23.85" hidden="false" customHeight="false" outlineLevel="0" collapsed="false">
      <c r="A293" s="2" t="s">
        <v>834</v>
      </c>
      <c r="B293" s="2" t="s">
        <v>852</v>
      </c>
      <c r="C293" s="3" t="n">
        <v>48.6</v>
      </c>
      <c r="D293" s="3" t="n">
        <v>-93.15</v>
      </c>
      <c r="E293" s="10" t="s">
        <v>49</v>
      </c>
      <c r="F293" s="5" t="n">
        <v>1108</v>
      </c>
      <c r="G293" s="11" t="s">
        <v>67</v>
      </c>
      <c r="H293" s="10" t="s">
        <v>49</v>
      </c>
      <c r="I293" s="13" t="s">
        <v>69</v>
      </c>
      <c r="J293" s="2" t="s">
        <v>70</v>
      </c>
      <c r="K293" s="2" t="s">
        <v>853</v>
      </c>
      <c r="L293" s="9" t="s">
        <v>36</v>
      </c>
      <c r="M293" s="8" t="s">
        <v>854</v>
      </c>
      <c r="N293" s="2" t="s">
        <v>41</v>
      </c>
      <c r="O293" s="9" t="s">
        <v>42</v>
      </c>
      <c r="P293" s="8" t="s">
        <v>43</v>
      </c>
      <c r="Q293" s="8" t="s">
        <v>855</v>
      </c>
    </row>
    <row r="294" customFormat="false" ht="23.85" hidden="false" customHeight="false" outlineLevel="0" collapsed="false">
      <c r="A294" s="2" t="s">
        <v>834</v>
      </c>
      <c r="B294" s="2" t="s">
        <v>856</v>
      </c>
      <c r="C294" s="3" t="n">
        <v>44.935</v>
      </c>
      <c r="D294" s="3" t="n">
        <v>-93.59</v>
      </c>
      <c r="E294" s="4" t="s">
        <v>19</v>
      </c>
      <c r="F294" s="5" t="n">
        <v>929.4</v>
      </c>
      <c r="G294" s="11" t="s">
        <v>67</v>
      </c>
      <c r="H294" s="10" t="s">
        <v>49</v>
      </c>
      <c r="I294" s="13" t="s">
        <v>69</v>
      </c>
      <c r="J294" s="2" t="s">
        <v>70</v>
      </c>
      <c r="K294" s="2" t="s">
        <v>857</v>
      </c>
      <c r="L294" s="9" t="s">
        <v>36</v>
      </c>
      <c r="M294" s="8" t="s">
        <v>176</v>
      </c>
      <c r="N294" s="2" t="s">
        <v>41</v>
      </c>
      <c r="O294" s="9" t="s">
        <v>42</v>
      </c>
      <c r="P294" s="8" t="s">
        <v>43</v>
      </c>
      <c r="Q294" s="8" t="s">
        <v>833</v>
      </c>
    </row>
    <row r="295" customFormat="false" ht="23.85" hidden="false" customHeight="false" outlineLevel="0" collapsed="false">
      <c r="A295" s="2" t="s">
        <v>834</v>
      </c>
      <c r="B295" s="2" t="s">
        <v>827</v>
      </c>
      <c r="C295" s="3" t="n">
        <v>46.41</v>
      </c>
      <c r="D295" s="3" t="n">
        <v>-94.35</v>
      </c>
      <c r="E295" s="10" t="s">
        <v>49</v>
      </c>
      <c r="F295" s="5" t="n">
        <v>1194</v>
      </c>
      <c r="G295" s="11" t="s">
        <v>67</v>
      </c>
      <c r="H295" s="10" t="s">
        <v>49</v>
      </c>
      <c r="I295" s="13" t="s">
        <v>69</v>
      </c>
      <c r="J295" s="2" t="s">
        <v>70</v>
      </c>
      <c r="K295" s="2" t="s">
        <v>858</v>
      </c>
      <c r="L295" s="9" t="s">
        <v>36</v>
      </c>
      <c r="M295" s="8" t="s">
        <v>847</v>
      </c>
      <c r="N295" s="2" t="s">
        <v>41</v>
      </c>
      <c r="O295" s="9" t="s">
        <v>42</v>
      </c>
      <c r="P295" s="8" t="s">
        <v>43</v>
      </c>
      <c r="Q295" s="8" t="s">
        <v>848</v>
      </c>
    </row>
    <row r="296" customFormat="false" ht="23.85" hidden="false" customHeight="false" outlineLevel="0" collapsed="false">
      <c r="A296" s="2" t="s">
        <v>834</v>
      </c>
      <c r="B296" s="2" t="s">
        <v>859</v>
      </c>
      <c r="C296" s="3" t="n">
        <v>46.415</v>
      </c>
      <c r="D296" s="3" t="n">
        <v>-95.71</v>
      </c>
      <c r="E296" s="10" t="s">
        <v>49</v>
      </c>
      <c r="F296" s="5" t="n">
        <v>1327</v>
      </c>
      <c r="G296" s="11" t="s">
        <v>67</v>
      </c>
      <c r="H296" s="12" t="s">
        <v>68</v>
      </c>
      <c r="I296" s="13" t="s">
        <v>69</v>
      </c>
      <c r="J296" s="2" t="s">
        <v>70</v>
      </c>
      <c r="K296" s="2" t="s">
        <v>73</v>
      </c>
      <c r="L296" s="14" t="s">
        <v>72</v>
      </c>
      <c r="M296" s="8" t="s">
        <v>73</v>
      </c>
      <c r="N296" s="2" t="s">
        <v>70</v>
      </c>
      <c r="O296" s="9" t="s">
        <v>42</v>
      </c>
      <c r="P296" s="8" t="s">
        <v>43</v>
      </c>
      <c r="Q296" s="8" t="s">
        <v>649</v>
      </c>
    </row>
    <row r="297" customFormat="false" ht="23.85" hidden="false" customHeight="false" outlineLevel="0" collapsed="false">
      <c r="A297" s="2" t="s">
        <v>834</v>
      </c>
      <c r="B297" s="2" t="s">
        <v>860</v>
      </c>
      <c r="C297" s="3" t="n">
        <v>44.46</v>
      </c>
      <c r="D297" s="3" t="n">
        <v>-92.17</v>
      </c>
      <c r="E297" s="10" t="s">
        <v>49</v>
      </c>
      <c r="F297" s="5" t="n">
        <v>667</v>
      </c>
      <c r="G297" s="11" t="s">
        <v>67</v>
      </c>
      <c r="H297" s="10" t="s">
        <v>49</v>
      </c>
      <c r="I297" s="13" t="s">
        <v>69</v>
      </c>
      <c r="J297" s="2" t="s">
        <v>70</v>
      </c>
      <c r="K297" s="2" t="s">
        <v>73</v>
      </c>
      <c r="L297" s="9" t="s">
        <v>36</v>
      </c>
      <c r="M297" s="8" t="s">
        <v>861</v>
      </c>
      <c r="N297" s="2" t="s">
        <v>41</v>
      </c>
      <c r="O297" s="9" t="s">
        <v>42</v>
      </c>
      <c r="P297" s="8" t="s">
        <v>43</v>
      </c>
      <c r="Q297" s="8" t="s">
        <v>862</v>
      </c>
    </row>
    <row r="298" customFormat="false" ht="23.85" hidden="false" customHeight="false" outlineLevel="0" collapsed="false">
      <c r="A298" s="2" t="s">
        <v>834</v>
      </c>
      <c r="B298" s="2" t="s">
        <v>863</v>
      </c>
      <c r="C298" s="3" t="n">
        <v>47.51</v>
      </c>
      <c r="D298" s="3" t="n">
        <v>-94.85</v>
      </c>
      <c r="E298" s="10" t="s">
        <v>49</v>
      </c>
      <c r="F298" s="5" t="n">
        <v>1352</v>
      </c>
      <c r="G298" s="11" t="s">
        <v>67</v>
      </c>
      <c r="H298" s="10" t="s">
        <v>49</v>
      </c>
      <c r="I298" s="13" t="s">
        <v>69</v>
      </c>
      <c r="J298" s="2" t="s">
        <v>70</v>
      </c>
      <c r="K298" s="2" t="s">
        <v>73</v>
      </c>
      <c r="L298" s="14" t="s">
        <v>72</v>
      </c>
      <c r="M298" s="8" t="s">
        <v>73</v>
      </c>
      <c r="N298" s="2" t="s">
        <v>70</v>
      </c>
      <c r="O298" s="9" t="s">
        <v>42</v>
      </c>
      <c r="P298" s="8" t="s">
        <v>43</v>
      </c>
      <c r="Q298" s="8" t="s">
        <v>864</v>
      </c>
    </row>
    <row r="299" customFormat="false" ht="23.85" hidden="false" customHeight="false" outlineLevel="0" collapsed="false">
      <c r="A299" s="2" t="s">
        <v>834</v>
      </c>
      <c r="B299" s="2" t="s">
        <v>865</v>
      </c>
      <c r="C299" s="3" t="n">
        <v>45.08</v>
      </c>
      <c r="D299" s="3" t="n">
        <v>-92.995</v>
      </c>
      <c r="E299" s="10" t="s">
        <v>49</v>
      </c>
      <c r="F299" s="5" t="n">
        <v>924</v>
      </c>
      <c r="G299" s="11" t="s">
        <v>67</v>
      </c>
      <c r="H299" s="10" t="s">
        <v>49</v>
      </c>
      <c r="I299" s="13" t="s">
        <v>69</v>
      </c>
      <c r="J299" s="2" t="s">
        <v>70</v>
      </c>
      <c r="K299" s="2" t="s">
        <v>73</v>
      </c>
      <c r="L299" s="9" t="s">
        <v>36</v>
      </c>
      <c r="M299" s="8" t="s">
        <v>866</v>
      </c>
      <c r="N299" s="2" t="s">
        <v>41</v>
      </c>
      <c r="O299" s="9" t="s">
        <v>42</v>
      </c>
      <c r="P299" s="8" t="s">
        <v>43</v>
      </c>
      <c r="Q299" s="8" t="s">
        <v>867</v>
      </c>
    </row>
    <row r="300" customFormat="false" ht="23.85" hidden="false" customHeight="false" outlineLevel="0" collapsed="false">
      <c r="A300" s="2" t="s">
        <v>868</v>
      </c>
      <c r="B300" s="2" t="s">
        <v>869</v>
      </c>
      <c r="C300" s="3" t="n">
        <v>32.43</v>
      </c>
      <c r="D300" s="3" t="n">
        <v>-90.025</v>
      </c>
      <c r="E300" s="10" t="s">
        <v>49</v>
      </c>
      <c r="F300" s="5" t="n">
        <v>297.5</v>
      </c>
      <c r="G300" s="6" t="s">
        <v>20</v>
      </c>
      <c r="H300" s="4" t="s">
        <v>19</v>
      </c>
      <c r="I300" s="7" t="s">
        <v>21</v>
      </c>
      <c r="J300" s="2" t="s">
        <v>22</v>
      </c>
      <c r="K300" s="2" t="s">
        <v>870</v>
      </c>
      <c r="L300" s="9" t="s">
        <v>36</v>
      </c>
      <c r="M300" s="8" t="s">
        <v>871</v>
      </c>
      <c r="N300" s="2" t="s">
        <v>22</v>
      </c>
      <c r="O300" s="6" t="s">
        <v>26</v>
      </c>
      <c r="P300" s="8" t="s">
        <v>27</v>
      </c>
      <c r="Q300" s="8" t="s">
        <v>872</v>
      </c>
    </row>
    <row r="301" customFormat="false" ht="23.85" hidden="false" customHeight="false" outlineLevel="0" collapsed="false">
      <c r="A301" s="2" t="s">
        <v>868</v>
      </c>
      <c r="B301" s="2" t="s">
        <v>873</v>
      </c>
      <c r="C301" s="3" t="n">
        <v>34.41</v>
      </c>
      <c r="D301" s="3" t="n">
        <v>-89.79</v>
      </c>
      <c r="E301" s="10" t="s">
        <v>49</v>
      </c>
      <c r="F301" s="5" t="n">
        <v>260.5</v>
      </c>
      <c r="G301" s="6" t="s">
        <v>20</v>
      </c>
      <c r="H301" s="4" t="s">
        <v>19</v>
      </c>
      <c r="I301" s="7" t="s">
        <v>21</v>
      </c>
      <c r="J301" s="2" t="s">
        <v>22</v>
      </c>
      <c r="K301" s="2" t="s">
        <v>874</v>
      </c>
      <c r="L301" s="6" t="s">
        <v>24</v>
      </c>
      <c r="M301" s="8" t="s">
        <v>875</v>
      </c>
      <c r="N301" s="2" t="s">
        <v>22</v>
      </c>
      <c r="O301" s="6" t="s">
        <v>26</v>
      </c>
      <c r="P301" s="8" t="s">
        <v>27</v>
      </c>
      <c r="Q301" s="8" t="s">
        <v>876</v>
      </c>
    </row>
    <row r="302" customFormat="false" ht="23.85" hidden="false" customHeight="false" outlineLevel="0" collapsed="false">
      <c r="A302" s="2" t="s">
        <v>868</v>
      </c>
      <c r="B302" s="2" t="s">
        <v>877</v>
      </c>
      <c r="C302" s="3" t="n">
        <v>33.83</v>
      </c>
      <c r="D302" s="3" t="n">
        <v>-89.73</v>
      </c>
      <c r="E302" s="10" t="s">
        <v>49</v>
      </c>
      <c r="F302" s="5" t="n">
        <v>215</v>
      </c>
      <c r="G302" s="6" t="s">
        <v>20</v>
      </c>
      <c r="H302" s="4" t="s">
        <v>19</v>
      </c>
      <c r="I302" s="7" t="s">
        <v>21</v>
      </c>
      <c r="J302" s="2" t="s">
        <v>22</v>
      </c>
      <c r="K302" s="2" t="s">
        <v>164</v>
      </c>
      <c r="L302" s="6" t="s">
        <v>24</v>
      </c>
      <c r="M302" s="8" t="s">
        <v>875</v>
      </c>
      <c r="N302" s="2" t="s">
        <v>22</v>
      </c>
      <c r="O302" s="6" t="s">
        <v>26</v>
      </c>
      <c r="P302" s="8" t="s">
        <v>27</v>
      </c>
      <c r="Q302" s="8" t="s">
        <v>876</v>
      </c>
    </row>
    <row r="303" customFormat="false" ht="23.85" hidden="false" customHeight="false" outlineLevel="0" collapsed="false">
      <c r="A303" s="2" t="s">
        <v>868</v>
      </c>
      <c r="B303" s="2" t="s">
        <v>878</v>
      </c>
      <c r="C303" s="3" t="n">
        <v>34.16</v>
      </c>
      <c r="D303" s="3" t="n">
        <v>-89.9</v>
      </c>
      <c r="E303" s="10" t="s">
        <v>49</v>
      </c>
      <c r="F303" s="5" t="n">
        <v>250</v>
      </c>
      <c r="G303" s="6" t="s">
        <v>20</v>
      </c>
      <c r="H303" s="4" t="s">
        <v>19</v>
      </c>
      <c r="I303" s="7" t="s">
        <v>21</v>
      </c>
      <c r="J303" s="2" t="s">
        <v>22</v>
      </c>
      <c r="K303" s="2" t="s">
        <v>164</v>
      </c>
      <c r="L303" s="6" t="s">
        <v>24</v>
      </c>
      <c r="M303" s="8" t="s">
        <v>875</v>
      </c>
      <c r="N303" s="2" t="s">
        <v>22</v>
      </c>
      <c r="O303" s="6" t="s">
        <v>26</v>
      </c>
      <c r="P303" s="8" t="s">
        <v>27</v>
      </c>
      <c r="Q303" s="8" t="s">
        <v>876</v>
      </c>
    </row>
    <row r="304" customFormat="false" ht="23.85" hidden="false" customHeight="false" outlineLevel="0" collapsed="false">
      <c r="A304" s="2" t="s">
        <v>868</v>
      </c>
      <c r="B304" s="2" t="s">
        <v>879</v>
      </c>
      <c r="C304" s="3" t="n">
        <v>34.74</v>
      </c>
      <c r="D304" s="3" t="n">
        <v>-90.11</v>
      </c>
      <c r="E304" s="10" t="s">
        <v>49</v>
      </c>
      <c r="F304" s="5" t="n">
        <v>220</v>
      </c>
      <c r="G304" s="6" t="s">
        <v>20</v>
      </c>
      <c r="H304" s="4" t="s">
        <v>19</v>
      </c>
      <c r="I304" s="7" t="s">
        <v>21</v>
      </c>
      <c r="J304" s="2" t="s">
        <v>22</v>
      </c>
      <c r="K304" s="2" t="s">
        <v>164</v>
      </c>
      <c r="L304" s="6" t="s">
        <v>24</v>
      </c>
      <c r="M304" s="8" t="s">
        <v>875</v>
      </c>
      <c r="N304" s="2" t="s">
        <v>22</v>
      </c>
      <c r="O304" s="6" t="s">
        <v>26</v>
      </c>
      <c r="P304" s="8" t="s">
        <v>27</v>
      </c>
      <c r="Q304" s="8" t="s">
        <v>876</v>
      </c>
    </row>
    <row r="305" customFormat="false" ht="23.85" hidden="false" customHeight="false" outlineLevel="0" collapsed="false">
      <c r="A305" s="2" t="s">
        <v>868</v>
      </c>
      <c r="B305" s="2" t="s">
        <v>880</v>
      </c>
      <c r="C305" s="3" t="n">
        <v>34.96</v>
      </c>
      <c r="D305" s="3" t="n">
        <v>-88.22</v>
      </c>
      <c r="E305" s="10" t="s">
        <v>49</v>
      </c>
      <c r="F305" s="5" t="n">
        <v>414</v>
      </c>
      <c r="G305" s="6" t="s">
        <v>20</v>
      </c>
      <c r="H305" s="4" t="s">
        <v>19</v>
      </c>
      <c r="I305" s="7" t="s">
        <v>21</v>
      </c>
      <c r="J305" s="2" t="s">
        <v>22</v>
      </c>
      <c r="K305" s="2" t="s">
        <v>881</v>
      </c>
      <c r="L305" s="6" t="s">
        <v>24</v>
      </c>
      <c r="M305" s="8" t="s">
        <v>882</v>
      </c>
      <c r="N305" s="2" t="s">
        <v>22</v>
      </c>
      <c r="O305" s="6" t="s">
        <v>26</v>
      </c>
      <c r="P305" s="8" t="s">
        <v>27</v>
      </c>
      <c r="Q305" s="8" t="s">
        <v>883</v>
      </c>
    </row>
    <row r="306" customFormat="false" ht="23.85" hidden="false" customHeight="false" outlineLevel="0" collapsed="false">
      <c r="A306" s="2" t="s">
        <v>868</v>
      </c>
      <c r="B306" s="2" t="s">
        <v>884</v>
      </c>
      <c r="C306" s="3" t="n">
        <v>34.58</v>
      </c>
      <c r="D306" s="3" t="n">
        <v>-88.34</v>
      </c>
      <c r="E306" s="12" t="s">
        <v>68</v>
      </c>
      <c r="F306" s="5" t="n">
        <v>413</v>
      </c>
      <c r="G306" s="6" t="s">
        <v>20</v>
      </c>
      <c r="H306" s="4" t="s">
        <v>19</v>
      </c>
      <c r="I306" s="7" t="s">
        <v>21</v>
      </c>
      <c r="J306" s="2" t="s">
        <v>22</v>
      </c>
      <c r="K306" s="2" t="s">
        <v>885</v>
      </c>
      <c r="L306" s="6" t="s">
        <v>24</v>
      </c>
      <c r="M306" s="8" t="s">
        <v>886</v>
      </c>
      <c r="N306" s="2" t="s">
        <v>22</v>
      </c>
      <c r="O306" s="6" t="s">
        <v>26</v>
      </c>
      <c r="P306" s="8" t="s">
        <v>27</v>
      </c>
      <c r="Q306" s="8" t="s">
        <v>887</v>
      </c>
    </row>
    <row r="307" customFormat="false" ht="23.85" hidden="false" customHeight="false" outlineLevel="0" collapsed="false">
      <c r="A307" s="2" t="s">
        <v>868</v>
      </c>
      <c r="B307" s="2" t="s">
        <v>888</v>
      </c>
      <c r="C307" s="3" t="n">
        <v>32.49</v>
      </c>
      <c r="D307" s="3" t="n">
        <v>-88.81</v>
      </c>
      <c r="E307" s="12" t="s">
        <v>68</v>
      </c>
      <c r="F307" s="5" t="n">
        <v>341</v>
      </c>
      <c r="G307" s="6" t="s">
        <v>20</v>
      </c>
      <c r="H307" s="10" t="s">
        <v>49</v>
      </c>
      <c r="I307" s="7" t="s">
        <v>21</v>
      </c>
      <c r="J307" s="2" t="s">
        <v>22</v>
      </c>
      <c r="K307" s="2" t="s">
        <v>57</v>
      </c>
      <c r="L307" s="6" t="s">
        <v>24</v>
      </c>
      <c r="M307" s="8" t="s">
        <v>886</v>
      </c>
      <c r="N307" s="2" t="s">
        <v>22</v>
      </c>
      <c r="O307" s="6" t="s">
        <v>26</v>
      </c>
      <c r="P307" s="8" t="s">
        <v>27</v>
      </c>
      <c r="Q307" s="8" t="s">
        <v>876</v>
      </c>
    </row>
    <row r="308" customFormat="false" ht="23.85" hidden="false" customHeight="false" outlineLevel="0" collapsed="false">
      <c r="A308" s="2" t="s">
        <v>868</v>
      </c>
      <c r="B308" s="2" t="s">
        <v>889</v>
      </c>
      <c r="C308" s="3" t="n">
        <v>33.56</v>
      </c>
      <c r="D308" s="3" t="n">
        <v>-88.49</v>
      </c>
      <c r="E308" s="12" t="s">
        <v>68</v>
      </c>
      <c r="F308" s="5" t="n">
        <v>163</v>
      </c>
      <c r="G308" s="6" t="s">
        <v>20</v>
      </c>
      <c r="H308" s="10" t="s">
        <v>49</v>
      </c>
      <c r="I308" s="7" t="s">
        <v>21</v>
      </c>
      <c r="J308" s="2" t="s">
        <v>22</v>
      </c>
      <c r="K308" s="2" t="s">
        <v>885</v>
      </c>
      <c r="L308" s="6" t="s">
        <v>24</v>
      </c>
      <c r="M308" s="8" t="s">
        <v>886</v>
      </c>
      <c r="N308" s="2" t="s">
        <v>22</v>
      </c>
      <c r="O308" s="6" t="s">
        <v>26</v>
      </c>
      <c r="P308" s="8" t="s">
        <v>27</v>
      </c>
      <c r="Q308" s="8" t="s">
        <v>890</v>
      </c>
    </row>
    <row r="309" customFormat="false" ht="23.85" hidden="false" customHeight="false" outlineLevel="0" collapsed="false">
      <c r="A309" s="2" t="s">
        <v>868</v>
      </c>
      <c r="B309" s="2" t="s">
        <v>223</v>
      </c>
      <c r="C309" s="3" t="n">
        <v>32.495</v>
      </c>
      <c r="D309" s="3" t="n">
        <v>-90.94</v>
      </c>
      <c r="E309" s="12" t="s">
        <v>68</v>
      </c>
      <c r="F309" s="5" t="n">
        <v>72</v>
      </c>
      <c r="G309" s="6" t="s">
        <v>20</v>
      </c>
      <c r="H309" s="12" t="s">
        <v>68</v>
      </c>
      <c r="I309" s="13" t="s">
        <v>69</v>
      </c>
      <c r="J309" s="2" t="s">
        <v>70</v>
      </c>
      <c r="K309" s="2" t="s">
        <v>891</v>
      </c>
      <c r="L309" s="9" t="s">
        <v>36</v>
      </c>
      <c r="M309" s="8" t="s">
        <v>892</v>
      </c>
      <c r="N309" s="2" t="s">
        <v>41</v>
      </c>
      <c r="O309" s="9" t="s">
        <v>42</v>
      </c>
      <c r="P309" s="8" t="s">
        <v>43</v>
      </c>
      <c r="Q309" s="8" t="s">
        <v>893</v>
      </c>
    </row>
    <row r="310" customFormat="false" ht="23.85" hidden="false" customHeight="false" outlineLevel="0" collapsed="false">
      <c r="A310" s="2" t="s">
        <v>868</v>
      </c>
      <c r="B310" s="2" t="s">
        <v>894</v>
      </c>
      <c r="C310" s="3" t="n">
        <v>33.1</v>
      </c>
      <c r="D310" s="3" t="n">
        <v>-90.91</v>
      </c>
      <c r="E310" s="12" t="s">
        <v>68</v>
      </c>
      <c r="F310" s="5" t="n">
        <v>98</v>
      </c>
      <c r="G310" s="11" t="s">
        <v>67</v>
      </c>
      <c r="H310" s="12" t="s">
        <v>68</v>
      </c>
      <c r="I310" s="13" t="s">
        <v>69</v>
      </c>
      <c r="J310" s="2" t="s">
        <v>70</v>
      </c>
      <c r="K310" s="2" t="s">
        <v>73</v>
      </c>
      <c r="L310" s="14" t="s">
        <v>72</v>
      </c>
      <c r="M310" s="8" t="s">
        <v>73</v>
      </c>
      <c r="N310" s="2" t="s">
        <v>70</v>
      </c>
      <c r="O310" s="15" t="s">
        <v>104</v>
      </c>
      <c r="P310" s="8" t="s">
        <v>105</v>
      </c>
      <c r="Q310" s="8" t="s">
        <v>895</v>
      </c>
    </row>
    <row r="311" customFormat="false" ht="23.85" hidden="false" customHeight="false" outlineLevel="0" collapsed="false">
      <c r="A311" s="2" t="s">
        <v>868</v>
      </c>
      <c r="B311" s="2" t="s">
        <v>896</v>
      </c>
      <c r="C311" s="3" t="n">
        <v>34.46</v>
      </c>
      <c r="D311" s="3" t="n">
        <v>-90.56</v>
      </c>
      <c r="E311" s="12" t="s">
        <v>68</v>
      </c>
      <c r="F311" s="5" t="n">
        <v>148</v>
      </c>
      <c r="G311" s="11" t="s">
        <v>67</v>
      </c>
      <c r="H311" s="12" t="s">
        <v>68</v>
      </c>
      <c r="I311" s="13" t="s">
        <v>69</v>
      </c>
      <c r="J311" s="2" t="s">
        <v>70</v>
      </c>
      <c r="K311" s="2" t="s">
        <v>73</v>
      </c>
      <c r="L311" s="14" t="s">
        <v>72</v>
      </c>
      <c r="M311" s="8" t="s">
        <v>73</v>
      </c>
      <c r="N311" s="2" t="s">
        <v>70</v>
      </c>
      <c r="O311" s="9" t="s">
        <v>42</v>
      </c>
      <c r="P311" s="8" t="s">
        <v>43</v>
      </c>
      <c r="Q311" s="8" t="s">
        <v>682</v>
      </c>
    </row>
    <row r="312" customFormat="false" ht="23.85" hidden="false" customHeight="false" outlineLevel="0" collapsed="false">
      <c r="A312" s="2" t="s">
        <v>897</v>
      </c>
      <c r="B312" s="2" t="s">
        <v>898</v>
      </c>
      <c r="C312" s="3" t="n">
        <v>38.2</v>
      </c>
      <c r="D312" s="3" t="n">
        <v>-92.63</v>
      </c>
      <c r="E312" s="4" t="s">
        <v>19</v>
      </c>
      <c r="F312" s="5" t="n">
        <v>660</v>
      </c>
      <c r="G312" s="6" t="s">
        <v>20</v>
      </c>
      <c r="H312" s="4" t="s">
        <v>19</v>
      </c>
      <c r="I312" s="7" t="s">
        <v>21</v>
      </c>
      <c r="J312" s="2" t="s">
        <v>22</v>
      </c>
      <c r="K312" s="2" t="s">
        <v>899</v>
      </c>
      <c r="L312" s="6" t="s">
        <v>24</v>
      </c>
      <c r="M312" s="8" t="s">
        <v>900</v>
      </c>
      <c r="N312" s="2" t="s">
        <v>41</v>
      </c>
      <c r="O312" s="9" t="s">
        <v>42</v>
      </c>
      <c r="P312" s="8" t="s">
        <v>43</v>
      </c>
      <c r="Q312" s="8" t="s">
        <v>901</v>
      </c>
    </row>
    <row r="313" customFormat="false" ht="23.85" hidden="false" customHeight="false" outlineLevel="0" collapsed="false">
      <c r="A313" s="2" t="s">
        <v>897</v>
      </c>
      <c r="B313" s="2" t="s">
        <v>902</v>
      </c>
      <c r="C313" s="3" t="n">
        <v>36.6</v>
      </c>
      <c r="D313" s="3" t="n">
        <v>-93.31</v>
      </c>
      <c r="E313" s="4" t="s">
        <v>19</v>
      </c>
      <c r="F313" s="5" t="n">
        <v>915</v>
      </c>
      <c r="G313" s="6" t="s">
        <v>20</v>
      </c>
      <c r="H313" s="4" t="s">
        <v>19</v>
      </c>
      <c r="I313" s="7" t="s">
        <v>21</v>
      </c>
      <c r="J313" s="2" t="s">
        <v>22</v>
      </c>
      <c r="K313" s="2" t="s">
        <v>903</v>
      </c>
      <c r="L313" s="6" t="s">
        <v>24</v>
      </c>
      <c r="M313" s="8" t="s">
        <v>904</v>
      </c>
      <c r="N313" s="2" t="s">
        <v>22</v>
      </c>
      <c r="O313" s="6" t="s">
        <v>26</v>
      </c>
      <c r="P313" s="8" t="s">
        <v>27</v>
      </c>
      <c r="Q313" s="8" t="s">
        <v>905</v>
      </c>
    </row>
    <row r="314" customFormat="false" ht="23.85" hidden="false" customHeight="false" outlineLevel="0" collapsed="false">
      <c r="A314" s="2" t="s">
        <v>897</v>
      </c>
      <c r="B314" s="2" t="s">
        <v>906</v>
      </c>
      <c r="C314" s="3" t="n">
        <v>38.26</v>
      </c>
      <c r="D314" s="3" t="n">
        <v>-93.4</v>
      </c>
      <c r="E314" s="10" t="s">
        <v>49</v>
      </c>
      <c r="F314" s="5" t="n">
        <v>706</v>
      </c>
      <c r="G314" s="6" t="s">
        <v>20</v>
      </c>
      <c r="H314" s="4" t="s">
        <v>19</v>
      </c>
      <c r="I314" s="7" t="s">
        <v>21</v>
      </c>
      <c r="J314" s="2" t="s">
        <v>22</v>
      </c>
      <c r="K314" s="2" t="s">
        <v>572</v>
      </c>
      <c r="L314" s="6" t="s">
        <v>24</v>
      </c>
      <c r="M314" s="8" t="s">
        <v>907</v>
      </c>
      <c r="N314" s="2" t="s">
        <v>22</v>
      </c>
      <c r="O314" s="6" t="s">
        <v>26</v>
      </c>
      <c r="P314" s="8" t="s">
        <v>27</v>
      </c>
      <c r="Q314" s="8" t="s">
        <v>876</v>
      </c>
    </row>
    <row r="315" customFormat="false" ht="23.85" hidden="false" customHeight="false" outlineLevel="0" collapsed="false">
      <c r="A315" s="2" t="s">
        <v>897</v>
      </c>
      <c r="B315" s="2" t="s">
        <v>908</v>
      </c>
      <c r="C315" s="3" t="n">
        <v>36.56</v>
      </c>
      <c r="D315" s="3" t="n">
        <v>-92.8</v>
      </c>
      <c r="E315" s="10" t="s">
        <v>49</v>
      </c>
      <c r="F315" s="5" t="n">
        <v>654</v>
      </c>
      <c r="G315" s="6" t="s">
        <v>20</v>
      </c>
      <c r="H315" s="4" t="s">
        <v>19</v>
      </c>
      <c r="I315" s="7" t="s">
        <v>21</v>
      </c>
      <c r="J315" s="2" t="s">
        <v>22</v>
      </c>
      <c r="K315" s="2" t="s">
        <v>151</v>
      </c>
      <c r="L315" s="6" t="s">
        <v>24</v>
      </c>
      <c r="M315" s="8" t="s">
        <v>904</v>
      </c>
      <c r="N315" s="2" t="s">
        <v>22</v>
      </c>
      <c r="O315" s="6" t="s">
        <v>26</v>
      </c>
      <c r="P315" s="8" t="s">
        <v>27</v>
      </c>
      <c r="Q315" s="8" t="s">
        <v>905</v>
      </c>
    </row>
    <row r="316" customFormat="false" ht="23.85" hidden="false" customHeight="false" outlineLevel="0" collapsed="false">
      <c r="A316" s="2" t="s">
        <v>897</v>
      </c>
      <c r="B316" s="2" t="s">
        <v>909</v>
      </c>
      <c r="C316" s="3" t="n">
        <v>39.53</v>
      </c>
      <c r="D316" s="3" t="n">
        <v>-91.63</v>
      </c>
      <c r="E316" s="10" t="s">
        <v>49</v>
      </c>
      <c r="F316" s="5" t="n">
        <v>606</v>
      </c>
      <c r="G316" s="6" t="s">
        <v>20</v>
      </c>
      <c r="H316" s="4" t="s">
        <v>19</v>
      </c>
      <c r="I316" s="7" t="s">
        <v>21</v>
      </c>
      <c r="J316" s="2" t="s">
        <v>22</v>
      </c>
      <c r="K316" s="2" t="s">
        <v>477</v>
      </c>
      <c r="L316" s="6" t="s">
        <v>24</v>
      </c>
      <c r="M316" s="8" t="s">
        <v>910</v>
      </c>
      <c r="N316" s="2" t="s">
        <v>22</v>
      </c>
      <c r="O316" s="6" t="s">
        <v>26</v>
      </c>
      <c r="P316" s="8" t="s">
        <v>27</v>
      </c>
      <c r="Q316" s="8" t="s">
        <v>911</v>
      </c>
    </row>
    <row r="317" customFormat="false" ht="23.85" hidden="false" customHeight="false" outlineLevel="0" collapsed="false">
      <c r="A317" s="2" t="s">
        <v>897</v>
      </c>
      <c r="B317" s="2" t="s">
        <v>912</v>
      </c>
      <c r="C317" s="3" t="n">
        <v>37.66</v>
      </c>
      <c r="D317" s="3" t="n">
        <v>-93.76</v>
      </c>
      <c r="E317" s="10" t="s">
        <v>49</v>
      </c>
      <c r="F317" s="5" t="n">
        <v>867</v>
      </c>
      <c r="G317" s="6" t="s">
        <v>20</v>
      </c>
      <c r="H317" s="4" t="s">
        <v>19</v>
      </c>
      <c r="I317" s="7" t="s">
        <v>21</v>
      </c>
      <c r="J317" s="2" t="s">
        <v>22</v>
      </c>
      <c r="K317" s="2" t="s">
        <v>913</v>
      </c>
      <c r="L317" s="6" t="s">
        <v>24</v>
      </c>
      <c r="M317" s="8" t="s">
        <v>907</v>
      </c>
      <c r="N317" s="2" t="s">
        <v>22</v>
      </c>
      <c r="O317" s="6" t="s">
        <v>26</v>
      </c>
      <c r="P317" s="8" t="s">
        <v>27</v>
      </c>
      <c r="Q317" s="8" t="s">
        <v>905</v>
      </c>
    </row>
    <row r="318" customFormat="false" ht="23.85" hidden="false" customHeight="false" outlineLevel="0" collapsed="false">
      <c r="A318" s="2" t="s">
        <v>897</v>
      </c>
      <c r="B318" s="2" t="s">
        <v>914</v>
      </c>
      <c r="C318" s="3" t="n">
        <v>37.89</v>
      </c>
      <c r="D318" s="3" t="n">
        <v>-93.32</v>
      </c>
      <c r="E318" s="10" t="s">
        <v>49</v>
      </c>
      <c r="F318" s="5" t="n">
        <v>839</v>
      </c>
      <c r="G318" s="6" t="s">
        <v>20</v>
      </c>
      <c r="H318" s="4" t="s">
        <v>19</v>
      </c>
      <c r="I318" s="7" t="s">
        <v>21</v>
      </c>
      <c r="J318" s="2" t="s">
        <v>22</v>
      </c>
      <c r="K318" s="2" t="s">
        <v>913</v>
      </c>
      <c r="L318" s="6" t="s">
        <v>24</v>
      </c>
      <c r="M318" s="8" t="s">
        <v>907</v>
      </c>
      <c r="N318" s="2" t="s">
        <v>22</v>
      </c>
      <c r="O318" s="6" t="s">
        <v>26</v>
      </c>
      <c r="P318" s="8" t="s">
        <v>27</v>
      </c>
      <c r="Q318" s="8" t="s">
        <v>876</v>
      </c>
    </row>
    <row r="319" customFormat="false" ht="23.85" hidden="false" customHeight="false" outlineLevel="0" collapsed="false">
      <c r="A319" s="2" t="s">
        <v>897</v>
      </c>
      <c r="B319" s="2" t="s">
        <v>915</v>
      </c>
      <c r="C319" s="3" t="n">
        <v>36.64</v>
      </c>
      <c r="D319" s="3" t="n">
        <v>-93.22</v>
      </c>
      <c r="E319" s="10" t="s">
        <v>49</v>
      </c>
      <c r="F319" s="5" t="n">
        <v>700</v>
      </c>
      <c r="G319" s="6" t="s">
        <v>20</v>
      </c>
      <c r="H319" s="10" t="s">
        <v>49</v>
      </c>
      <c r="I319" s="7" t="s">
        <v>21</v>
      </c>
      <c r="J319" s="2" t="s">
        <v>22</v>
      </c>
      <c r="K319" s="2" t="s">
        <v>916</v>
      </c>
      <c r="L319" s="9" t="s">
        <v>36</v>
      </c>
      <c r="M319" s="8" t="s">
        <v>917</v>
      </c>
      <c r="N319" s="2" t="s">
        <v>22</v>
      </c>
      <c r="O319" s="6" t="s">
        <v>26</v>
      </c>
      <c r="P319" s="8" t="s">
        <v>27</v>
      </c>
      <c r="Q319" s="8" t="s">
        <v>918</v>
      </c>
    </row>
    <row r="320" customFormat="false" ht="23.85" hidden="false" customHeight="false" outlineLevel="0" collapsed="false">
      <c r="A320" s="2" t="s">
        <v>897</v>
      </c>
      <c r="B320" s="2" t="s">
        <v>919</v>
      </c>
      <c r="C320" s="3" t="n">
        <v>37.12</v>
      </c>
      <c r="D320" s="3" t="n">
        <v>-90.78</v>
      </c>
      <c r="E320" s="10" t="s">
        <v>49</v>
      </c>
      <c r="F320" s="5" t="n">
        <v>498</v>
      </c>
      <c r="G320" s="6" t="s">
        <v>20</v>
      </c>
      <c r="H320" s="10" t="s">
        <v>49</v>
      </c>
      <c r="I320" s="7" t="s">
        <v>21</v>
      </c>
      <c r="J320" s="2" t="s">
        <v>22</v>
      </c>
      <c r="K320" s="2" t="s">
        <v>151</v>
      </c>
      <c r="L320" s="6" t="s">
        <v>24</v>
      </c>
      <c r="M320" s="8" t="s">
        <v>904</v>
      </c>
      <c r="N320" s="2" t="s">
        <v>22</v>
      </c>
      <c r="O320" s="6" t="s">
        <v>26</v>
      </c>
      <c r="P320" s="8" t="s">
        <v>27</v>
      </c>
      <c r="Q320" s="8" t="s">
        <v>876</v>
      </c>
    </row>
    <row r="321" customFormat="false" ht="23.85" hidden="false" customHeight="false" outlineLevel="0" collapsed="false">
      <c r="A321" s="2" t="s">
        <v>897</v>
      </c>
      <c r="B321" s="2" t="s">
        <v>920</v>
      </c>
      <c r="C321" s="3" t="n">
        <v>36.93</v>
      </c>
      <c r="D321" s="3" t="n">
        <v>-90.28</v>
      </c>
      <c r="E321" s="10" t="s">
        <v>49</v>
      </c>
      <c r="F321" s="5" t="n">
        <v>359.5</v>
      </c>
      <c r="G321" s="6" t="s">
        <v>20</v>
      </c>
      <c r="H321" s="4" t="s">
        <v>19</v>
      </c>
      <c r="I321" s="7" t="s">
        <v>21</v>
      </c>
      <c r="J321" s="2" t="s">
        <v>22</v>
      </c>
      <c r="K321" s="2" t="s">
        <v>477</v>
      </c>
      <c r="L321" s="6" t="s">
        <v>24</v>
      </c>
      <c r="M321" s="8" t="s">
        <v>910</v>
      </c>
      <c r="N321" s="2" t="s">
        <v>22</v>
      </c>
      <c r="O321" s="6" t="s">
        <v>26</v>
      </c>
      <c r="P321" s="8" t="s">
        <v>27</v>
      </c>
      <c r="Q321" s="8" t="s">
        <v>876</v>
      </c>
    </row>
    <row r="322" customFormat="false" ht="23.85" hidden="false" customHeight="false" outlineLevel="0" collapsed="false">
      <c r="A322" s="2" t="s">
        <v>897</v>
      </c>
      <c r="B322" s="2" t="s">
        <v>921</v>
      </c>
      <c r="C322" s="3" t="n">
        <v>39.42</v>
      </c>
      <c r="D322" s="3" t="n">
        <v>-94.57</v>
      </c>
      <c r="E322" s="10" t="s">
        <v>49</v>
      </c>
      <c r="F322" s="5" t="n">
        <v>864</v>
      </c>
      <c r="G322" s="6" t="s">
        <v>20</v>
      </c>
      <c r="H322" s="10" t="s">
        <v>49</v>
      </c>
      <c r="I322" s="7" t="s">
        <v>21</v>
      </c>
      <c r="J322" s="2" t="s">
        <v>22</v>
      </c>
      <c r="K322" s="2" t="s">
        <v>913</v>
      </c>
      <c r="L322" s="6" t="s">
        <v>24</v>
      </c>
      <c r="M322" s="8" t="s">
        <v>907</v>
      </c>
      <c r="N322" s="2" t="s">
        <v>22</v>
      </c>
      <c r="O322" s="6" t="s">
        <v>26</v>
      </c>
      <c r="P322" s="8" t="s">
        <v>27</v>
      </c>
      <c r="Q322" s="8" t="s">
        <v>876</v>
      </c>
    </row>
    <row r="323" customFormat="false" ht="23.85" hidden="false" customHeight="false" outlineLevel="0" collapsed="false">
      <c r="A323" s="2" t="s">
        <v>897</v>
      </c>
      <c r="B323" s="2" t="s">
        <v>922</v>
      </c>
      <c r="C323" s="3" t="n">
        <v>38.9</v>
      </c>
      <c r="D323" s="3" t="n">
        <v>-94.5</v>
      </c>
      <c r="E323" s="10" t="s">
        <v>49</v>
      </c>
      <c r="F323" s="5" t="n">
        <v>890</v>
      </c>
      <c r="G323" s="6" t="s">
        <v>20</v>
      </c>
      <c r="H323" s="10" t="s">
        <v>49</v>
      </c>
      <c r="I323" s="7" t="s">
        <v>21</v>
      </c>
      <c r="J323" s="2" t="s">
        <v>22</v>
      </c>
      <c r="K323" s="2" t="s">
        <v>913</v>
      </c>
      <c r="L323" s="6" t="s">
        <v>24</v>
      </c>
      <c r="M323" s="8" t="s">
        <v>907</v>
      </c>
      <c r="N323" s="2" t="s">
        <v>22</v>
      </c>
      <c r="O323" s="6" t="s">
        <v>26</v>
      </c>
      <c r="P323" s="8" t="s">
        <v>27</v>
      </c>
      <c r="Q323" s="8" t="s">
        <v>876</v>
      </c>
    </row>
    <row r="324" customFormat="false" ht="23.85" hidden="false" customHeight="false" outlineLevel="0" collapsed="false">
      <c r="A324" s="2" t="s">
        <v>923</v>
      </c>
      <c r="B324" s="2" t="s">
        <v>924</v>
      </c>
      <c r="C324" s="3" t="n">
        <v>47.8686</v>
      </c>
      <c r="D324" s="3" t="n">
        <v>-114.105</v>
      </c>
      <c r="E324" s="4" t="s">
        <v>19</v>
      </c>
      <c r="F324" s="5" t="n">
        <v>2893</v>
      </c>
      <c r="G324" s="6" t="s">
        <v>20</v>
      </c>
      <c r="H324" s="4" t="s">
        <v>19</v>
      </c>
      <c r="I324" s="13" t="s">
        <v>69</v>
      </c>
      <c r="J324" s="2" t="s">
        <v>70</v>
      </c>
      <c r="K324" s="2" t="s">
        <v>925</v>
      </c>
      <c r="L324" s="9" t="s">
        <v>36</v>
      </c>
      <c r="M324" s="8" t="s">
        <v>432</v>
      </c>
      <c r="N324" s="2" t="s">
        <v>22</v>
      </c>
      <c r="O324" s="15" t="s">
        <v>104</v>
      </c>
      <c r="P324" s="8" t="s">
        <v>105</v>
      </c>
      <c r="Q324" s="8" t="s">
        <v>926</v>
      </c>
    </row>
    <row r="325" customFormat="false" ht="23.85" hidden="false" customHeight="false" outlineLevel="0" collapsed="false">
      <c r="A325" s="2" t="s">
        <v>923</v>
      </c>
      <c r="B325" s="2" t="s">
        <v>927</v>
      </c>
      <c r="C325" s="3" t="n">
        <v>47.65</v>
      </c>
      <c r="D325" s="3" t="n">
        <v>-106.72</v>
      </c>
      <c r="E325" s="4" t="s">
        <v>19</v>
      </c>
      <c r="F325" s="5" t="n">
        <v>2246</v>
      </c>
      <c r="G325" s="6" t="s">
        <v>20</v>
      </c>
      <c r="H325" s="10" t="s">
        <v>49</v>
      </c>
      <c r="I325" s="7" t="s">
        <v>21</v>
      </c>
      <c r="J325" s="2" t="s">
        <v>22</v>
      </c>
      <c r="K325" s="2" t="s">
        <v>928</v>
      </c>
      <c r="L325" s="6" t="s">
        <v>24</v>
      </c>
      <c r="M325" s="8" t="s">
        <v>929</v>
      </c>
      <c r="N325" s="2" t="s">
        <v>22</v>
      </c>
      <c r="O325" s="6" t="s">
        <v>26</v>
      </c>
      <c r="P325" s="8" t="s">
        <v>27</v>
      </c>
      <c r="Q325" s="8" t="s">
        <v>930</v>
      </c>
    </row>
    <row r="326" customFormat="false" ht="23.85" hidden="false" customHeight="false" outlineLevel="0" collapsed="false">
      <c r="A326" s="2" t="s">
        <v>923</v>
      </c>
      <c r="B326" s="2" t="s">
        <v>931</v>
      </c>
      <c r="C326" s="3" t="n">
        <v>46.5</v>
      </c>
      <c r="D326" s="3" t="n">
        <v>-111.55</v>
      </c>
      <c r="E326" s="4" t="s">
        <v>19</v>
      </c>
      <c r="F326" s="5" t="n">
        <v>3800</v>
      </c>
      <c r="G326" s="6" t="s">
        <v>20</v>
      </c>
      <c r="H326" s="10" t="s">
        <v>49</v>
      </c>
      <c r="I326" s="7" t="s">
        <v>21</v>
      </c>
      <c r="J326" s="2" t="s">
        <v>22</v>
      </c>
      <c r="K326" s="2" t="s">
        <v>932</v>
      </c>
      <c r="L326" s="6" t="s">
        <v>24</v>
      </c>
      <c r="M326" s="8" t="s">
        <v>933</v>
      </c>
      <c r="N326" s="2" t="s">
        <v>22</v>
      </c>
      <c r="O326" s="6" t="s">
        <v>26</v>
      </c>
      <c r="P326" s="8" t="s">
        <v>27</v>
      </c>
      <c r="Q326" s="8" t="s">
        <v>934</v>
      </c>
    </row>
    <row r="327" customFormat="false" ht="23.85" hidden="false" customHeight="false" outlineLevel="0" collapsed="false">
      <c r="A327" s="2" t="s">
        <v>923</v>
      </c>
      <c r="B327" s="2" t="s">
        <v>935</v>
      </c>
      <c r="C327" s="3" t="n">
        <v>48.7</v>
      </c>
      <c r="D327" s="3" t="n">
        <v>-115.3</v>
      </c>
      <c r="E327" s="4" t="s">
        <v>19</v>
      </c>
      <c r="F327" s="5" t="n">
        <v>2459</v>
      </c>
      <c r="G327" s="6" t="s">
        <v>20</v>
      </c>
      <c r="H327" s="4" t="s">
        <v>19</v>
      </c>
      <c r="I327" s="7" t="s">
        <v>21</v>
      </c>
      <c r="J327" s="2" t="s">
        <v>22</v>
      </c>
      <c r="K327" s="2" t="s">
        <v>936</v>
      </c>
      <c r="L327" s="6" t="s">
        <v>24</v>
      </c>
      <c r="M327" s="8" t="s">
        <v>937</v>
      </c>
      <c r="N327" s="2" t="s">
        <v>22</v>
      </c>
      <c r="O327" s="6" t="s">
        <v>26</v>
      </c>
      <c r="P327" s="8" t="s">
        <v>27</v>
      </c>
      <c r="Q327" s="8" t="s">
        <v>938</v>
      </c>
    </row>
    <row r="328" customFormat="false" ht="23.85" hidden="false" customHeight="false" outlineLevel="0" collapsed="false">
      <c r="A328" s="2" t="s">
        <v>923</v>
      </c>
      <c r="B328" s="2" t="s">
        <v>939</v>
      </c>
      <c r="C328" s="3" t="n">
        <v>44.86</v>
      </c>
      <c r="D328" s="3" t="n">
        <v>-111.33</v>
      </c>
      <c r="E328" s="4" t="s">
        <v>19</v>
      </c>
      <c r="F328" s="5" t="n">
        <v>6534.9</v>
      </c>
      <c r="G328" s="6" t="s">
        <v>20</v>
      </c>
      <c r="H328" s="4" t="s">
        <v>19</v>
      </c>
      <c r="I328" s="7" t="s">
        <v>21</v>
      </c>
      <c r="J328" s="2" t="s">
        <v>22</v>
      </c>
      <c r="K328" s="2" t="s">
        <v>940</v>
      </c>
      <c r="L328" s="9" t="s">
        <v>36</v>
      </c>
      <c r="M328" s="8" t="s">
        <v>941</v>
      </c>
      <c r="N328" s="2" t="s">
        <v>41</v>
      </c>
      <c r="O328" s="9" t="s">
        <v>42</v>
      </c>
      <c r="P328" s="8" t="s">
        <v>43</v>
      </c>
      <c r="Q328" s="8" t="s">
        <v>942</v>
      </c>
    </row>
    <row r="329" customFormat="false" ht="23.85" hidden="false" customHeight="false" outlineLevel="0" collapsed="false">
      <c r="A329" s="2" t="s">
        <v>923</v>
      </c>
      <c r="B329" s="2" t="s">
        <v>943</v>
      </c>
      <c r="C329" s="3" t="n">
        <v>48.44</v>
      </c>
      <c r="D329" s="3" t="n">
        <v>-114.38</v>
      </c>
      <c r="E329" s="4" t="s">
        <v>19</v>
      </c>
      <c r="F329" s="5" t="n">
        <v>3000</v>
      </c>
      <c r="G329" s="11" t="s">
        <v>67</v>
      </c>
      <c r="H329" s="10" t="s">
        <v>49</v>
      </c>
      <c r="I329" s="13" t="s">
        <v>69</v>
      </c>
      <c r="J329" s="2" t="s">
        <v>70</v>
      </c>
      <c r="K329" s="2" t="s">
        <v>944</v>
      </c>
      <c r="L329" s="9" t="s">
        <v>36</v>
      </c>
      <c r="M329" s="8" t="s">
        <v>176</v>
      </c>
      <c r="N329" s="2" t="s">
        <v>41</v>
      </c>
      <c r="O329" s="9" t="s">
        <v>42</v>
      </c>
      <c r="P329" s="8" t="s">
        <v>43</v>
      </c>
      <c r="Q329" s="8" t="s">
        <v>945</v>
      </c>
    </row>
    <row r="330" customFormat="false" ht="23.85" hidden="false" customHeight="false" outlineLevel="0" collapsed="false">
      <c r="A330" s="2" t="s">
        <v>923</v>
      </c>
      <c r="B330" s="2" t="s">
        <v>946</v>
      </c>
      <c r="C330" s="3" t="n">
        <v>46.19</v>
      </c>
      <c r="D330" s="3" t="n">
        <v>-113.29</v>
      </c>
      <c r="E330" s="4" t="s">
        <v>19</v>
      </c>
      <c r="F330" s="5" t="n">
        <v>6425</v>
      </c>
      <c r="G330" s="6" t="s">
        <v>20</v>
      </c>
      <c r="H330" s="12" t="s">
        <v>68</v>
      </c>
      <c r="I330" s="7" t="s">
        <v>21</v>
      </c>
      <c r="J330" s="2" t="s">
        <v>22</v>
      </c>
      <c r="K330" s="2" t="s">
        <v>947</v>
      </c>
      <c r="L330" s="14" t="s">
        <v>72</v>
      </c>
      <c r="M330" s="8" t="s">
        <v>948</v>
      </c>
      <c r="N330" s="2" t="s">
        <v>41</v>
      </c>
      <c r="O330" s="9" t="s">
        <v>42</v>
      </c>
      <c r="P330" s="8" t="s">
        <v>43</v>
      </c>
      <c r="Q330" s="8" t="s">
        <v>949</v>
      </c>
    </row>
    <row r="331" customFormat="false" ht="23.85" hidden="false" customHeight="false" outlineLevel="0" collapsed="false">
      <c r="A331" s="2" t="s">
        <v>923</v>
      </c>
      <c r="B331" s="2" t="s">
        <v>950</v>
      </c>
      <c r="C331" s="3" t="n">
        <v>48.2</v>
      </c>
      <c r="D331" s="3" t="n">
        <v>-113.9</v>
      </c>
      <c r="E331" s="4" t="s">
        <v>19</v>
      </c>
      <c r="F331" s="5" t="n">
        <v>3560</v>
      </c>
      <c r="G331" s="6" t="s">
        <v>20</v>
      </c>
      <c r="H331" s="4" t="s">
        <v>19</v>
      </c>
      <c r="I331" s="7" t="s">
        <v>21</v>
      </c>
      <c r="J331" s="2" t="s">
        <v>22</v>
      </c>
      <c r="K331" s="2" t="s">
        <v>589</v>
      </c>
      <c r="L331" s="6" t="s">
        <v>24</v>
      </c>
      <c r="M331" s="8" t="s">
        <v>933</v>
      </c>
      <c r="N331" s="2" t="s">
        <v>22</v>
      </c>
      <c r="O331" s="6" t="s">
        <v>26</v>
      </c>
      <c r="P331" s="8" t="s">
        <v>27</v>
      </c>
      <c r="Q331" s="8" t="s">
        <v>951</v>
      </c>
    </row>
    <row r="332" customFormat="false" ht="23.85" hidden="false" customHeight="false" outlineLevel="0" collapsed="false">
      <c r="A332" s="2" t="s">
        <v>923</v>
      </c>
      <c r="B332" s="2" t="s">
        <v>952</v>
      </c>
      <c r="C332" s="3" t="n">
        <v>45.18</v>
      </c>
      <c r="D332" s="3" t="n">
        <v>-108.14</v>
      </c>
      <c r="E332" s="10" t="s">
        <v>49</v>
      </c>
      <c r="F332" s="5" t="n">
        <v>3640</v>
      </c>
      <c r="G332" s="6" t="s">
        <v>20</v>
      </c>
      <c r="H332" s="4" t="s">
        <v>19</v>
      </c>
      <c r="I332" s="7" t="s">
        <v>21</v>
      </c>
      <c r="J332" s="2" t="s">
        <v>22</v>
      </c>
      <c r="K332" s="2" t="s">
        <v>953</v>
      </c>
      <c r="L332" s="6" t="s">
        <v>24</v>
      </c>
      <c r="M332" s="8" t="s">
        <v>933</v>
      </c>
      <c r="N332" s="2" t="s">
        <v>22</v>
      </c>
      <c r="O332" s="6" t="s">
        <v>26</v>
      </c>
      <c r="P332" s="8" t="s">
        <v>27</v>
      </c>
      <c r="Q332" s="8" t="s">
        <v>954</v>
      </c>
    </row>
    <row r="333" customFormat="false" ht="23.85" hidden="false" customHeight="false" outlineLevel="0" collapsed="false">
      <c r="A333" s="2" t="s">
        <v>923</v>
      </c>
      <c r="B333" s="2" t="s">
        <v>955</v>
      </c>
      <c r="C333" s="3" t="n">
        <v>48.63</v>
      </c>
      <c r="D333" s="3" t="n">
        <v>-109.95</v>
      </c>
      <c r="E333" s="10" t="s">
        <v>49</v>
      </c>
      <c r="F333" s="5" t="n">
        <v>2575</v>
      </c>
      <c r="G333" s="6" t="s">
        <v>20</v>
      </c>
      <c r="H333" s="10" t="s">
        <v>49</v>
      </c>
      <c r="I333" s="7" t="s">
        <v>21</v>
      </c>
      <c r="J333" s="2" t="s">
        <v>22</v>
      </c>
      <c r="K333" s="2" t="s">
        <v>956</v>
      </c>
      <c r="L333" s="6" t="s">
        <v>24</v>
      </c>
      <c r="M333" s="8" t="s">
        <v>957</v>
      </c>
      <c r="N333" s="2" t="s">
        <v>41</v>
      </c>
      <c r="O333" s="9" t="s">
        <v>42</v>
      </c>
      <c r="P333" s="8" t="s">
        <v>43</v>
      </c>
      <c r="Q333" s="8" t="s">
        <v>958</v>
      </c>
    </row>
    <row r="334" customFormat="false" ht="23.85" hidden="false" customHeight="false" outlineLevel="0" collapsed="false">
      <c r="A334" s="2" t="s">
        <v>923</v>
      </c>
      <c r="B334" s="2" t="s">
        <v>959</v>
      </c>
      <c r="C334" s="3" t="n">
        <v>48.32</v>
      </c>
      <c r="D334" s="3" t="n">
        <v>-111.1</v>
      </c>
      <c r="E334" s="10" t="s">
        <v>49</v>
      </c>
      <c r="F334" s="5" t="n">
        <v>2993</v>
      </c>
      <c r="G334" s="6" t="s">
        <v>20</v>
      </c>
      <c r="H334" s="10" t="s">
        <v>49</v>
      </c>
      <c r="I334" s="7" t="s">
        <v>21</v>
      </c>
      <c r="J334" s="2" t="s">
        <v>22</v>
      </c>
      <c r="K334" s="2" t="s">
        <v>589</v>
      </c>
      <c r="L334" s="6" t="s">
        <v>24</v>
      </c>
      <c r="M334" s="8" t="s">
        <v>957</v>
      </c>
      <c r="N334" s="2" t="s">
        <v>41</v>
      </c>
      <c r="O334" s="9" t="s">
        <v>42</v>
      </c>
      <c r="P334" s="8" t="s">
        <v>43</v>
      </c>
      <c r="Q334" s="8" t="s">
        <v>960</v>
      </c>
    </row>
    <row r="335" customFormat="false" ht="23.85" hidden="false" customHeight="false" outlineLevel="0" collapsed="false">
      <c r="A335" s="2" t="s">
        <v>923</v>
      </c>
      <c r="B335" s="2" t="s">
        <v>961</v>
      </c>
      <c r="C335" s="3" t="n">
        <v>46.95</v>
      </c>
      <c r="D335" s="3" t="n">
        <v>-112</v>
      </c>
      <c r="E335" s="4" t="s">
        <v>19</v>
      </c>
      <c r="F335" s="5" t="n">
        <v>3562</v>
      </c>
      <c r="G335" s="6" t="s">
        <v>20</v>
      </c>
      <c r="H335" s="12" t="s">
        <v>68</v>
      </c>
      <c r="I335" s="7" t="s">
        <v>21</v>
      </c>
      <c r="J335" s="2" t="s">
        <v>22</v>
      </c>
      <c r="K335" s="2" t="s">
        <v>962</v>
      </c>
      <c r="L335" s="9" t="s">
        <v>36</v>
      </c>
      <c r="M335" s="8" t="s">
        <v>176</v>
      </c>
      <c r="N335" s="2" t="s">
        <v>41</v>
      </c>
      <c r="O335" s="9" t="s">
        <v>42</v>
      </c>
      <c r="P335" s="8" t="s">
        <v>43</v>
      </c>
      <c r="Q335" s="8" t="s">
        <v>963</v>
      </c>
    </row>
    <row r="336" customFormat="false" ht="23.85" hidden="false" customHeight="false" outlineLevel="0" collapsed="false">
      <c r="A336" s="2" t="s">
        <v>964</v>
      </c>
      <c r="B336" s="2" t="s">
        <v>965</v>
      </c>
      <c r="C336" s="3" t="n">
        <v>41.23</v>
      </c>
      <c r="D336" s="3" t="n">
        <v>-101.7</v>
      </c>
      <c r="E336" s="4" t="s">
        <v>19</v>
      </c>
      <c r="F336" s="5" t="n">
        <v>3265</v>
      </c>
      <c r="G336" s="6" t="s">
        <v>20</v>
      </c>
      <c r="H336" s="4" t="s">
        <v>19</v>
      </c>
      <c r="I336" s="7" t="s">
        <v>21</v>
      </c>
      <c r="J336" s="2" t="s">
        <v>22</v>
      </c>
      <c r="K336" s="2" t="s">
        <v>966</v>
      </c>
      <c r="L336" s="6" t="s">
        <v>24</v>
      </c>
      <c r="M336" s="8" t="s">
        <v>967</v>
      </c>
      <c r="N336" s="2" t="s">
        <v>22</v>
      </c>
      <c r="O336" s="15" t="s">
        <v>104</v>
      </c>
      <c r="P336" s="8" t="s">
        <v>105</v>
      </c>
      <c r="Q336" s="8" t="s">
        <v>968</v>
      </c>
    </row>
    <row r="337" customFormat="false" ht="23.85" hidden="false" customHeight="false" outlineLevel="0" collapsed="false">
      <c r="A337" s="2" t="s">
        <v>964</v>
      </c>
      <c r="B337" s="2" t="s">
        <v>969</v>
      </c>
      <c r="C337" s="3" t="n">
        <v>42.85</v>
      </c>
      <c r="D337" s="3" t="n">
        <v>-97.6</v>
      </c>
      <c r="E337" s="4" t="s">
        <v>19</v>
      </c>
      <c r="F337" s="5" t="n">
        <v>1204.5</v>
      </c>
      <c r="G337" s="6" t="s">
        <v>20</v>
      </c>
      <c r="H337" s="10" t="s">
        <v>49</v>
      </c>
      <c r="I337" s="7" t="s">
        <v>21</v>
      </c>
      <c r="J337" s="2" t="s">
        <v>22</v>
      </c>
      <c r="K337" s="2" t="s">
        <v>970</v>
      </c>
      <c r="L337" s="6" t="s">
        <v>24</v>
      </c>
      <c r="M337" s="8" t="s">
        <v>971</v>
      </c>
      <c r="N337" s="2" t="s">
        <v>22</v>
      </c>
      <c r="O337" s="6" t="s">
        <v>26</v>
      </c>
      <c r="P337" s="8" t="s">
        <v>27</v>
      </c>
      <c r="Q337" s="8" t="s">
        <v>972</v>
      </c>
    </row>
    <row r="338" customFormat="false" ht="23.85" hidden="false" customHeight="false" outlineLevel="0" collapsed="false">
      <c r="A338" s="2" t="s">
        <v>964</v>
      </c>
      <c r="B338" s="2" t="s">
        <v>973</v>
      </c>
      <c r="C338" s="3" t="n">
        <v>40.07</v>
      </c>
      <c r="D338" s="3" t="n">
        <v>-99.2</v>
      </c>
      <c r="E338" s="4" t="s">
        <v>19</v>
      </c>
      <c r="F338" s="5" t="n">
        <v>1946</v>
      </c>
      <c r="G338" s="6" t="s">
        <v>20</v>
      </c>
      <c r="H338" s="10" t="s">
        <v>49</v>
      </c>
      <c r="I338" s="7" t="s">
        <v>21</v>
      </c>
      <c r="J338" s="2" t="s">
        <v>22</v>
      </c>
      <c r="K338" s="2" t="s">
        <v>974</v>
      </c>
      <c r="L338" s="6" t="s">
        <v>24</v>
      </c>
      <c r="M338" s="8" t="s">
        <v>975</v>
      </c>
      <c r="N338" s="2" t="s">
        <v>22</v>
      </c>
      <c r="O338" s="6" t="s">
        <v>26</v>
      </c>
      <c r="P338" s="8" t="s">
        <v>27</v>
      </c>
      <c r="Q338" s="8" t="s">
        <v>976</v>
      </c>
    </row>
    <row r="339" customFormat="false" ht="23.85" hidden="false" customHeight="false" outlineLevel="0" collapsed="false">
      <c r="A339" s="2" t="s">
        <v>964</v>
      </c>
      <c r="B339" s="2" t="s">
        <v>977</v>
      </c>
      <c r="C339" s="3" t="n">
        <v>42.62</v>
      </c>
      <c r="D339" s="3" t="n">
        <v>-100.88</v>
      </c>
      <c r="E339" s="4" t="s">
        <v>19</v>
      </c>
      <c r="F339" s="5" t="n">
        <v>2949</v>
      </c>
      <c r="G339" s="6" t="s">
        <v>20</v>
      </c>
      <c r="H339" s="12" t="s">
        <v>68</v>
      </c>
      <c r="I339" s="7" t="s">
        <v>21</v>
      </c>
      <c r="J339" s="2" t="s">
        <v>22</v>
      </c>
      <c r="K339" s="2" t="s">
        <v>978</v>
      </c>
      <c r="L339" s="6" t="s">
        <v>24</v>
      </c>
      <c r="M339" s="8" t="s">
        <v>957</v>
      </c>
      <c r="N339" s="2" t="s">
        <v>41</v>
      </c>
      <c r="O339" s="9" t="s">
        <v>42</v>
      </c>
      <c r="P339" s="8" t="s">
        <v>43</v>
      </c>
      <c r="Q339" s="8" t="s">
        <v>979</v>
      </c>
    </row>
    <row r="340" customFormat="false" ht="23.85" hidden="false" customHeight="false" outlineLevel="0" collapsed="false">
      <c r="A340" s="2" t="s">
        <v>964</v>
      </c>
      <c r="B340" s="2" t="s">
        <v>980</v>
      </c>
      <c r="C340" s="3" t="n">
        <v>41.19</v>
      </c>
      <c r="D340" s="3" t="n">
        <v>-101.7</v>
      </c>
      <c r="E340" s="4" t="s">
        <v>19</v>
      </c>
      <c r="F340" s="5" t="n">
        <v>3221</v>
      </c>
      <c r="G340" s="6" t="s">
        <v>20</v>
      </c>
      <c r="H340" s="12" t="s">
        <v>68</v>
      </c>
      <c r="I340" s="7" t="s">
        <v>21</v>
      </c>
      <c r="J340" s="2" t="s">
        <v>22</v>
      </c>
      <c r="K340" s="2" t="s">
        <v>981</v>
      </c>
      <c r="L340" s="6" t="s">
        <v>24</v>
      </c>
      <c r="M340" s="8" t="s">
        <v>967</v>
      </c>
      <c r="N340" s="2" t="s">
        <v>41</v>
      </c>
      <c r="O340" s="9" t="s">
        <v>42</v>
      </c>
      <c r="P340" s="8" t="s">
        <v>43</v>
      </c>
      <c r="Q340" s="8" t="s">
        <v>982</v>
      </c>
    </row>
    <row r="341" customFormat="false" ht="23.85" hidden="false" customHeight="false" outlineLevel="0" collapsed="false">
      <c r="A341" s="2" t="s">
        <v>964</v>
      </c>
      <c r="B341" s="2" t="s">
        <v>983</v>
      </c>
      <c r="C341" s="3" t="n">
        <v>41.26</v>
      </c>
      <c r="D341" s="3" t="n">
        <v>-98.95</v>
      </c>
      <c r="E341" s="10" t="s">
        <v>49</v>
      </c>
      <c r="F341" s="5" t="n">
        <v>2144</v>
      </c>
      <c r="G341" s="6" t="s">
        <v>20</v>
      </c>
      <c r="H341" s="12" t="s">
        <v>68</v>
      </c>
      <c r="I341" s="7" t="s">
        <v>21</v>
      </c>
      <c r="J341" s="2" t="s">
        <v>22</v>
      </c>
      <c r="K341" s="2" t="s">
        <v>984</v>
      </c>
      <c r="L341" s="6" t="s">
        <v>24</v>
      </c>
      <c r="M341" s="8" t="s">
        <v>957</v>
      </c>
      <c r="N341" s="2" t="s">
        <v>41</v>
      </c>
      <c r="O341" s="9" t="s">
        <v>42</v>
      </c>
      <c r="P341" s="8" t="s">
        <v>43</v>
      </c>
      <c r="Q341" s="8" t="s">
        <v>985</v>
      </c>
    </row>
    <row r="342" customFormat="false" ht="23.85" hidden="false" customHeight="false" outlineLevel="0" collapsed="false">
      <c r="A342" s="2" t="s">
        <v>964</v>
      </c>
      <c r="B342" s="2" t="s">
        <v>986</v>
      </c>
      <c r="C342" s="3" t="n">
        <v>40.97</v>
      </c>
      <c r="D342" s="3" t="n">
        <v>-96.86</v>
      </c>
      <c r="E342" s="4" t="s">
        <v>19</v>
      </c>
      <c r="F342" s="5" t="n">
        <v>1230</v>
      </c>
      <c r="G342" s="6" t="s">
        <v>20</v>
      </c>
      <c r="H342" s="12" t="s">
        <v>68</v>
      </c>
      <c r="I342" s="7" t="s">
        <v>21</v>
      </c>
      <c r="J342" s="2" t="s">
        <v>22</v>
      </c>
      <c r="K342" s="2" t="s">
        <v>987</v>
      </c>
      <c r="L342" s="9" t="s">
        <v>36</v>
      </c>
      <c r="M342" s="8" t="s">
        <v>176</v>
      </c>
      <c r="N342" s="2" t="s">
        <v>41</v>
      </c>
      <c r="O342" s="9" t="s">
        <v>42</v>
      </c>
      <c r="P342" s="8" t="s">
        <v>43</v>
      </c>
      <c r="Q342" s="8" t="s">
        <v>988</v>
      </c>
    </row>
    <row r="343" customFormat="false" ht="23.85" hidden="false" customHeight="false" outlineLevel="0" collapsed="false">
      <c r="A343" s="2" t="s">
        <v>964</v>
      </c>
      <c r="B343" s="2" t="s">
        <v>989</v>
      </c>
      <c r="C343" s="3" t="n">
        <v>41.83</v>
      </c>
      <c r="D343" s="3" t="n">
        <v>-99.25</v>
      </c>
      <c r="E343" s="10" t="s">
        <v>49</v>
      </c>
      <c r="F343" s="5" t="n">
        <v>2230</v>
      </c>
      <c r="G343" s="6" t="s">
        <v>20</v>
      </c>
      <c r="H343" s="12" t="s">
        <v>68</v>
      </c>
      <c r="I343" s="7" t="s">
        <v>21</v>
      </c>
      <c r="J343" s="2" t="s">
        <v>22</v>
      </c>
      <c r="K343" s="2" t="s">
        <v>990</v>
      </c>
      <c r="L343" s="6" t="s">
        <v>24</v>
      </c>
      <c r="M343" s="8" t="s">
        <v>957</v>
      </c>
      <c r="N343" s="2" t="s">
        <v>41</v>
      </c>
      <c r="O343" s="9" t="s">
        <v>42</v>
      </c>
      <c r="P343" s="8" t="s">
        <v>43</v>
      </c>
      <c r="Q343" s="8" t="s">
        <v>991</v>
      </c>
    </row>
    <row r="344" customFormat="false" ht="23.85" hidden="false" customHeight="false" outlineLevel="0" collapsed="false">
      <c r="A344" s="2" t="s">
        <v>964</v>
      </c>
      <c r="B344" s="2" t="s">
        <v>992</v>
      </c>
      <c r="C344" s="3" t="n">
        <v>40.14</v>
      </c>
      <c r="D344" s="3" t="n">
        <v>-100.75</v>
      </c>
      <c r="E344" s="10" t="s">
        <v>49</v>
      </c>
      <c r="F344" s="5" t="n">
        <v>2758</v>
      </c>
      <c r="G344" s="6" t="s">
        <v>20</v>
      </c>
      <c r="H344" s="12" t="s">
        <v>68</v>
      </c>
      <c r="I344" s="7" t="s">
        <v>21</v>
      </c>
      <c r="J344" s="2" t="s">
        <v>22</v>
      </c>
      <c r="K344" s="2" t="s">
        <v>993</v>
      </c>
      <c r="L344" s="6" t="s">
        <v>24</v>
      </c>
      <c r="M344" s="8" t="s">
        <v>957</v>
      </c>
      <c r="N344" s="2" t="s">
        <v>41</v>
      </c>
      <c r="O344" s="9" t="s">
        <v>42</v>
      </c>
      <c r="P344" s="8" t="s">
        <v>43</v>
      </c>
      <c r="Q344" s="8" t="s">
        <v>976</v>
      </c>
    </row>
    <row r="345" customFormat="false" ht="23.85" hidden="false" customHeight="false" outlineLevel="0" collapsed="false">
      <c r="A345" s="2" t="s">
        <v>964</v>
      </c>
      <c r="B345" s="2" t="s">
        <v>994</v>
      </c>
      <c r="C345" s="3" t="n">
        <v>42.45</v>
      </c>
      <c r="D345" s="3" t="n">
        <v>-103.08</v>
      </c>
      <c r="E345" s="10" t="s">
        <v>49</v>
      </c>
      <c r="F345" s="5" t="n">
        <v>3990</v>
      </c>
      <c r="G345" s="6" t="s">
        <v>20</v>
      </c>
      <c r="H345" s="12" t="s">
        <v>68</v>
      </c>
      <c r="I345" s="7" t="s">
        <v>21</v>
      </c>
      <c r="J345" s="2" t="s">
        <v>22</v>
      </c>
      <c r="K345" s="2" t="s">
        <v>995</v>
      </c>
      <c r="L345" s="6" t="s">
        <v>24</v>
      </c>
      <c r="M345" s="8" t="s">
        <v>957</v>
      </c>
      <c r="N345" s="2" t="s">
        <v>41</v>
      </c>
      <c r="O345" s="9" t="s">
        <v>42</v>
      </c>
      <c r="P345" s="8" t="s">
        <v>43</v>
      </c>
      <c r="Q345" s="8" t="s">
        <v>996</v>
      </c>
    </row>
    <row r="346" customFormat="false" ht="23.85" hidden="false" customHeight="false" outlineLevel="0" collapsed="false">
      <c r="A346" s="2" t="s">
        <v>964</v>
      </c>
      <c r="B346" s="2" t="s">
        <v>997</v>
      </c>
      <c r="C346" s="3" t="n">
        <v>40.7</v>
      </c>
      <c r="D346" s="3" t="n">
        <v>-99.83</v>
      </c>
      <c r="E346" s="4" t="s">
        <v>19</v>
      </c>
      <c r="F346" s="5" t="n">
        <v>2631</v>
      </c>
      <c r="G346" s="6" t="s">
        <v>20</v>
      </c>
      <c r="H346" s="12" t="s">
        <v>68</v>
      </c>
      <c r="I346" s="7" t="s">
        <v>21</v>
      </c>
      <c r="J346" s="2" t="s">
        <v>22</v>
      </c>
      <c r="K346" s="2" t="s">
        <v>998</v>
      </c>
      <c r="L346" s="6" t="s">
        <v>24</v>
      </c>
      <c r="M346" s="8" t="s">
        <v>967</v>
      </c>
      <c r="N346" s="2" t="s">
        <v>41</v>
      </c>
      <c r="O346" s="9" t="s">
        <v>42</v>
      </c>
      <c r="P346" s="8" t="s">
        <v>43</v>
      </c>
      <c r="Q346" s="8" t="s">
        <v>999</v>
      </c>
    </row>
    <row r="347" customFormat="false" ht="23.85" hidden="false" customHeight="false" outlineLevel="0" collapsed="false">
      <c r="A347" s="2" t="s">
        <v>964</v>
      </c>
      <c r="B347" s="2" t="s">
        <v>1000</v>
      </c>
      <c r="C347" s="3" t="n">
        <v>41.13</v>
      </c>
      <c r="D347" s="3" t="n">
        <v>-101.15</v>
      </c>
      <c r="E347" s="10" t="s">
        <v>49</v>
      </c>
      <c r="F347" s="5" t="n">
        <v>2985</v>
      </c>
      <c r="G347" s="6" t="s">
        <v>20</v>
      </c>
      <c r="H347" s="12" t="s">
        <v>68</v>
      </c>
      <c r="I347" s="7" t="s">
        <v>21</v>
      </c>
      <c r="J347" s="2" t="s">
        <v>22</v>
      </c>
      <c r="K347" s="2" t="s">
        <v>1001</v>
      </c>
      <c r="L347" s="9" t="s">
        <v>36</v>
      </c>
      <c r="M347" s="8" t="s">
        <v>1002</v>
      </c>
      <c r="N347" s="2" t="s">
        <v>41</v>
      </c>
      <c r="O347" s="9" t="s">
        <v>42</v>
      </c>
      <c r="P347" s="8" t="s">
        <v>43</v>
      </c>
      <c r="Q347" s="8" t="s">
        <v>1003</v>
      </c>
    </row>
    <row r="348" customFormat="false" ht="23.85" hidden="false" customHeight="false" outlineLevel="0" collapsed="false">
      <c r="A348" s="2" t="s">
        <v>1004</v>
      </c>
      <c r="B348" s="2" t="s">
        <v>1005</v>
      </c>
      <c r="C348" s="3" t="n">
        <v>39.15</v>
      </c>
      <c r="D348" s="3" t="n">
        <v>-119.93</v>
      </c>
      <c r="E348" s="4" t="s">
        <v>19</v>
      </c>
      <c r="F348" s="5" t="n">
        <v>6229.1</v>
      </c>
      <c r="G348" s="6" t="s">
        <v>20</v>
      </c>
      <c r="H348" s="4" t="s">
        <v>19</v>
      </c>
      <c r="I348" s="13" t="s">
        <v>69</v>
      </c>
      <c r="J348" s="2" t="s">
        <v>70</v>
      </c>
      <c r="K348" s="2" t="s">
        <v>1006</v>
      </c>
      <c r="L348" s="9" t="s">
        <v>36</v>
      </c>
      <c r="M348" s="8" t="s">
        <v>1007</v>
      </c>
      <c r="N348" s="2" t="s">
        <v>22</v>
      </c>
      <c r="O348" s="6" t="s">
        <v>26</v>
      </c>
      <c r="P348" s="8" t="s">
        <v>27</v>
      </c>
      <c r="Q348" s="8" t="s">
        <v>1008</v>
      </c>
    </row>
    <row r="349" customFormat="false" ht="23.85" hidden="false" customHeight="false" outlineLevel="0" collapsed="false">
      <c r="A349" s="2" t="s">
        <v>1004</v>
      </c>
      <c r="B349" s="2" t="s">
        <v>1009</v>
      </c>
      <c r="C349" s="3" t="n">
        <v>36.15</v>
      </c>
      <c r="D349" s="3" t="n">
        <v>-114.4</v>
      </c>
      <c r="E349" s="4" t="s">
        <v>19</v>
      </c>
      <c r="F349" s="5" t="n">
        <v>1229</v>
      </c>
      <c r="G349" s="6" t="s">
        <v>20</v>
      </c>
      <c r="H349" s="4" t="s">
        <v>19</v>
      </c>
      <c r="I349" s="7" t="s">
        <v>21</v>
      </c>
      <c r="J349" s="2" t="s">
        <v>22</v>
      </c>
      <c r="K349" s="2" t="s">
        <v>1010</v>
      </c>
      <c r="L349" s="6" t="s">
        <v>24</v>
      </c>
      <c r="M349" s="8" t="s">
        <v>1011</v>
      </c>
      <c r="N349" s="2" t="s">
        <v>22</v>
      </c>
      <c r="O349" s="6" t="s">
        <v>26</v>
      </c>
      <c r="P349" s="8" t="s">
        <v>27</v>
      </c>
      <c r="Q349" s="8" t="s">
        <v>1012</v>
      </c>
    </row>
    <row r="350" customFormat="false" ht="23.85" hidden="false" customHeight="false" outlineLevel="0" collapsed="false">
      <c r="A350" s="2" t="s">
        <v>1004</v>
      </c>
      <c r="B350" s="2" t="s">
        <v>1013</v>
      </c>
      <c r="C350" s="3" t="n">
        <v>35.4</v>
      </c>
      <c r="D350" s="3" t="n">
        <v>-114.63</v>
      </c>
      <c r="E350" s="4" t="s">
        <v>19</v>
      </c>
      <c r="F350" s="5" t="n">
        <v>647</v>
      </c>
      <c r="G350" s="6" t="s">
        <v>20</v>
      </c>
      <c r="H350" s="4" t="s">
        <v>19</v>
      </c>
      <c r="I350" s="7" t="s">
        <v>21</v>
      </c>
      <c r="J350" s="2" t="s">
        <v>22</v>
      </c>
      <c r="K350" s="2" t="s">
        <v>115</v>
      </c>
      <c r="L350" s="6" t="s">
        <v>24</v>
      </c>
      <c r="M350" s="8" t="s">
        <v>1011</v>
      </c>
      <c r="N350" s="2" t="s">
        <v>22</v>
      </c>
      <c r="O350" s="6" t="s">
        <v>26</v>
      </c>
      <c r="P350" s="8" t="s">
        <v>27</v>
      </c>
      <c r="Q350" s="8" t="s">
        <v>1012</v>
      </c>
    </row>
    <row r="351" customFormat="false" ht="23.85" hidden="false" customHeight="false" outlineLevel="0" collapsed="false">
      <c r="A351" s="2" t="s">
        <v>1004</v>
      </c>
      <c r="B351" s="2" t="s">
        <v>1014</v>
      </c>
      <c r="C351" s="3" t="n">
        <v>40</v>
      </c>
      <c r="D351" s="3" t="n">
        <v>-119.58</v>
      </c>
      <c r="E351" s="4" t="s">
        <v>19</v>
      </c>
      <c r="F351" s="5" t="n">
        <v>3796</v>
      </c>
      <c r="G351" s="11" t="s">
        <v>67</v>
      </c>
      <c r="H351" s="12" t="s">
        <v>68</v>
      </c>
      <c r="I351" s="13" t="s">
        <v>69</v>
      </c>
      <c r="J351" s="2" t="s">
        <v>70</v>
      </c>
      <c r="K351" s="2" t="s">
        <v>1015</v>
      </c>
      <c r="L351" s="9" t="s">
        <v>36</v>
      </c>
      <c r="M351" s="8" t="s">
        <v>176</v>
      </c>
      <c r="N351" s="2" t="s">
        <v>41</v>
      </c>
      <c r="O351" s="15" t="s">
        <v>104</v>
      </c>
      <c r="P351" s="8" t="s">
        <v>105</v>
      </c>
      <c r="Q351" s="8" t="s">
        <v>1016</v>
      </c>
    </row>
    <row r="352" customFormat="false" ht="23.85" hidden="false" customHeight="false" outlineLevel="0" collapsed="false">
      <c r="A352" s="2" t="s">
        <v>1004</v>
      </c>
      <c r="B352" s="2" t="s">
        <v>1017</v>
      </c>
      <c r="C352" s="3" t="n">
        <v>38.7</v>
      </c>
      <c r="D352" s="3" t="n">
        <v>-118.71</v>
      </c>
      <c r="E352" s="4" t="s">
        <v>19</v>
      </c>
      <c r="F352" s="5" t="n">
        <v>3930</v>
      </c>
      <c r="G352" s="11" t="s">
        <v>67</v>
      </c>
      <c r="H352" s="12" t="s">
        <v>68</v>
      </c>
      <c r="I352" s="13" t="s">
        <v>69</v>
      </c>
      <c r="J352" s="2" t="s">
        <v>70</v>
      </c>
      <c r="K352" s="2" t="s">
        <v>1018</v>
      </c>
      <c r="L352" s="9" t="s">
        <v>36</v>
      </c>
      <c r="M352" s="8" t="s">
        <v>176</v>
      </c>
      <c r="N352" s="2" t="s">
        <v>41</v>
      </c>
      <c r="O352" s="9" t="s">
        <v>42</v>
      </c>
      <c r="P352" s="8" t="s">
        <v>43</v>
      </c>
      <c r="Q352" s="8" t="s">
        <v>1018</v>
      </c>
    </row>
    <row r="353" customFormat="false" ht="23.85" hidden="false" customHeight="false" outlineLevel="0" collapsed="false">
      <c r="A353" s="2" t="s">
        <v>1004</v>
      </c>
      <c r="B353" s="2" t="s">
        <v>1019</v>
      </c>
      <c r="C353" s="3" t="n">
        <v>39.45</v>
      </c>
      <c r="D353" s="3" t="n">
        <v>-119.07</v>
      </c>
      <c r="E353" s="10" t="s">
        <v>49</v>
      </c>
      <c r="F353" s="5" t="n">
        <v>4162</v>
      </c>
      <c r="G353" s="6" t="s">
        <v>20</v>
      </c>
      <c r="H353" s="12" t="s">
        <v>68</v>
      </c>
      <c r="I353" s="7" t="s">
        <v>21</v>
      </c>
      <c r="J353" s="2" t="s">
        <v>22</v>
      </c>
      <c r="K353" s="2" t="s">
        <v>1020</v>
      </c>
      <c r="L353" s="6" t="s">
        <v>24</v>
      </c>
      <c r="M353" s="8" t="s">
        <v>933</v>
      </c>
      <c r="N353" s="2" t="s">
        <v>22</v>
      </c>
      <c r="O353" s="6" t="s">
        <v>26</v>
      </c>
      <c r="P353" s="8" t="s">
        <v>27</v>
      </c>
      <c r="Q353" s="8" t="s">
        <v>1021</v>
      </c>
    </row>
    <row r="354" customFormat="false" ht="23.85" hidden="false" customHeight="false" outlineLevel="0" collapsed="false">
      <c r="A354" s="2" t="s">
        <v>1004</v>
      </c>
      <c r="B354" s="2" t="s">
        <v>1022</v>
      </c>
      <c r="C354" s="3" t="n">
        <v>40.45</v>
      </c>
      <c r="D354" s="3" t="n">
        <v>-118.32</v>
      </c>
      <c r="E354" s="10" t="s">
        <v>49</v>
      </c>
      <c r="F354" s="5" t="n">
        <v>4132</v>
      </c>
      <c r="G354" s="6" t="s">
        <v>20</v>
      </c>
      <c r="H354" s="12" t="s">
        <v>68</v>
      </c>
      <c r="I354" s="7" t="s">
        <v>21</v>
      </c>
      <c r="J354" s="2" t="s">
        <v>22</v>
      </c>
      <c r="K354" s="2" t="s">
        <v>1023</v>
      </c>
      <c r="L354" s="6" t="s">
        <v>24</v>
      </c>
      <c r="M354" s="8" t="s">
        <v>933</v>
      </c>
      <c r="N354" s="2" t="s">
        <v>22</v>
      </c>
      <c r="O354" s="6" t="s">
        <v>26</v>
      </c>
      <c r="P354" s="8" t="s">
        <v>27</v>
      </c>
      <c r="Q354" s="8" t="s">
        <v>1024</v>
      </c>
    </row>
    <row r="355" customFormat="false" ht="23.85" hidden="false" customHeight="false" outlineLevel="0" collapsed="false">
      <c r="A355" s="2" t="s">
        <v>1004</v>
      </c>
      <c r="B355" s="2" t="s">
        <v>1025</v>
      </c>
      <c r="C355" s="3" t="n">
        <v>41.68</v>
      </c>
      <c r="D355" s="3" t="n">
        <v>-115.8</v>
      </c>
      <c r="E355" s="10" t="s">
        <v>49</v>
      </c>
      <c r="F355" s="5" t="n">
        <v>6204</v>
      </c>
      <c r="G355" s="6" t="s">
        <v>20</v>
      </c>
      <c r="H355" s="12" t="s">
        <v>68</v>
      </c>
      <c r="I355" s="7" t="s">
        <v>21</v>
      </c>
      <c r="J355" s="2" t="s">
        <v>22</v>
      </c>
      <c r="K355" s="2" t="s">
        <v>1026</v>
      </c>
      <c r="L355" s="9" t="s">
        <v>36</v>
      </c>
      <c r="M355" s="8" t="s">
        <v>176</v>
      </c>
      <c r="N355" s="2" t="s">
        <v>41</v>
      </c>
      <c r="O355" s="9" t="s">
        <v>42</v>
      </c>
      <c r="P355" s="8" t="s">
        <v>43</v>
      </c>
      <c r="Q355" s="8" t="s">
        <v>1027</v>
      </c>
    </row>
    <row r="356" customFormat="false" ht="23.85" hidden="false" customHeight="false" outlineLevel="0" collapsed="false">
      <c r="A356" s="2" t="s">
        <v>1004</v>
      </c>
      <c r="B356" s="2" t="s">
        <v>1028</v>
      </c>
      <c r="C356" s="3" t="n">
        <v>38.68</v>
      </c>
      <c r="D356" s="3" t="n">
        <v>-119.53</v>
      </c>
      <c r="E356" s="4" t="s">
        <v>19</v>
      </c>
      <c r="F356" s="5" t="n">
        <v>5010</v>
      </c>
      <c r="G356" s="6" t="s">
        <v>20</v>
      </c>
      <c r="H356" s="12" t="s">
        <v>68</v>
      </c>
      <c r="I356" s="7" t="s">
        <v>21</v>
      </c>
      <c r="J356" s="2" t="s">
        <v>22</v>
      </c>
      <c r="K356" s="2" t="s">
        <v>1029</v>
      </c>
      <c r="L356" s="9" t="s">
        <v>36</v>
      </c>
      <c r="M356" s="8" t="s">
        <v>176</v>
      </c>
      <c r="N356" s="2" t="s">
        <v>22</v>
      </c>
      <c r="O356" s="6" t="s">
        <v>26</v>
      </c>
      <c r="P356" s="8" t="s">
        <v>27</v>
      </c>
      <c r="Q356" s="8" t="s">
        <v>1030</v>
      </c>
    </row>
    <row r="357" customFormat="false" ht="23.85" hidden="false" customHeight="false" outlineLevel="0" collapsed="false">
      <c r="A357" s="2" t="s">
        <v>1004</v>
      </c>
      <c r="B357" s="2" t="s">
        <v>1031</v>
      </c>
      <c r="C357" s="3" t="n">
        <v>39.24</v>
      </c>
      <c r="D357" s="3" t="n">
        <v>-119.77</v>
      </c>
      <c r="E357" s="4" t="s">
        <v>19</v>
      </c>
      <c r="F357" s="5" t="n">
        <v>5029</v>
      </c>
      <c r="G357" s="11" t="s">
        <v>67</v>
      </c>
      <c r="H357" s="12" t="s">
        <v>68</v>
      </c>
      <c r="I357" s="13" t="s">
        <v>69</v>
      </c>
      <c r="J357" s="2" t="s">
        <v>70</v>
      </c>
      <c r="K357" s="2" t="s">
        <v>1032</v>
      </c>
      <c r="L357" s="9" t="s">
        <v>36</v>
      </c>
      <c r="M357" s="8" t="s">
        <v>176</v>
      </c>
      <c r="N357" s="2" t="s">
        <v>41</v>
      </c>
      <c r="O357" s="9" t="s">
        <v>42</v>
      </c>
      <c r="P357" s="8" t="s">
        <v>43</v>
      </c>
      <c r="Q357" s="8" t="s">
        <v>1033</v>
      </c>
    </row>
    <row r="358" customFormat="false" ht="23.85" hidden="false" customHeight="false" outlineLevel="0" collapsed="false">
      <c r="A358" s="2" t="s">
        <v>1004</v>
      </c>
      <c r="B358" s="2" t="s">
        <v>1034</v>
      </c>
      <c r="C358" s="3" t="n">
        <v>40.18</v>
      </c>
      <c r="D358" s="3" t="n">
        <v>-115.5</v>
      </c>
      <c r="E358" s="10" t="s">
        <v>49</v>
      </c>
      <c r="F358" s="5" t="n">
        <v>6008</v>
      </c>
      <c r="G358" s="11" t="s">
        <v>67</v>
      </c>
      <c r="H358" s="12" t="s">
        <v>68</v>
      </c>
      <c r="I358" s="13" t="s">
        <v>69</v>
      </c>
      <c r="J358" s="2" t="s">
        <v>70</v>
      </c>
      <c r="K358" s="2" t="s">
        <v>1035</v>
      </c>
      <c r="L358" s="14" t="s">
        <v>72</v>
      </c>
      <c r="M358" s="8" t="s">
        <v>73</v>
      </c>
      <c r="N358" s="2" t="s">
        <v>70</v>
      </c>
      <c r="O358" s="9" t="s">
        <v>42</v>
      </c>
      <c r="P358" s="8" t="s">
        <v>43</v>
      </c>
      <c r="Q358" s="8" t="s">
        <v>1036</v>
      </c>
    </row>
    <row r="359" customFormat="false" ht="23.85" hidden="false" customHeight="false" outlineLevel="0" collapsed="false">
      <c r="A359" s="2" t="s">
        <v>1004</v>
      </c>
      <c r="B359" s="2" t="s">
        <v>1037</v>
      </c>
      <c r="C359" s="3" t="n">
        <v>39.45</v>
      </c>
      <c r="D359" s="3" t="n">
        <v>-119.07</v>
      </c>
      <c r="E359" s="12" t="s">
        <v>68</v>
      </c>
      <c r="F359" s="5" t="n">
        <v>4162</v>
      </c>
      <c r="G359" s="6" t="s">
        <v>20</v>
      </c>
      <c r="H359" s="12" t="s">
        <v>68</v>
      </c>
      <c r="I359" s="7" t="s">
        <v>21</v>
      </c>
      <c r="J359" s="2" t="s">
        <v>22</v>
      </c>
      <c r="K359" s="2" t="s">
        <v>1038</v>
      </c>
      <c r="L359" s="6" t="s">
        <v>24</v>
      </c>
      <c r="M359" s="8" t="s">
        <v>957</v>
      </c>
      <c r="N359" s="2" t="s">
        <v>22</v>
      </c>
      <c r="O359" s="6" t="s">
        <v>26</v>
      </c>
      <c r="P359" s="8" t="s">
        <v>27</v>
      </c>
      <c r="Q359" s="8" t="s">
        <v>1039</v>
      </c>
    </row>
    <row r="360" customFormat="false" ht="23.85" hidden="false" customHeight="false" outlineLevel="0" collapsed="false">
      <c r="A360" s="2" t="s">
        <v>1040</v>
      </c>
      <c r="B360" s="2" t="s">
        <v>1041</v>
      </c>
      <c r="C360" s="3" t="n">
        <v>43.62</v>
      </c>
      <c r="D360" s="3" t="n">
        <v>-71.33</v>
      </c>
      <c r="E360" s="4" t="s">
        <v>19</v>
      </c>
      <c r="F360" s="5" t="n">
        <v>504.3</v>
      </c>
      <c r="G360" s="6" t="s">
        <v>20</v>
      </c>
      <c r="H360" s="4" t="s">
        <v>19</v>
      </c>
      <c r="I360" s="13" t="s">
        <v>69</v>
      </c>
      <c r="J360" s="2" t="s">
        <v>70</v>
      </c>
      <c r="K360" s="2" t="s">
        <v>1042</v>
      </c>
      <c r="L360" s="9" t="s">
        <v>36</v>
      </c>
      <c r="M360" s="8" t="s">
        <v>176</v>
      </c>
      <c r="N360" s="2" t="s">
        <v>22</v>
      </c>
      <c r="O360" s="15" t="s">
        <v>104</v>
      </c>
      <c r="P360" s="8" t="s">
        <v>105</v>
      </c>
      <c r="Q360" s="8" t="s">
        <v>1043</v>
      </c>
    </row>
    <row r="361" customFormat="false" ht="23.85" hidden="false" customHeight="false" outlineLevel="0" collapsed="false">
      <c r="A361" s="2" t="s">
        <v>1040</v>
      </c>
      <c r="B361" s="2" t="s">
        <v>1044</v>
      </c>
      <c r="C361" s="3" t="n">
        <v>43.55</v>
      </c>
      <c r="D361" s="3" t="n">
        <v>-71.5</v>
      </c>
      <c r="E361" s="4" t="s">
        <v>19</v>
      </c>
      <c r="F361" s="5" t="n">
        <v>485</v>
      </c>
      <c r="G361" s="11" t="s">
        <v>67</v>
      </c>
      <c r="H361" s="12" t="s">
        <v>68</v>
      </c>
      <c r="I361" s="13" t="s">
        <v>69</v>
      </c>
      <c r="J361" s="2" t="s">
        <v>70</v>
      </c>
      <c r="K361" s="2" t="s">
        <v>1045</v>
      </c>
      <c r="L361" s="14" t="s">
        <v>72</v>
      </c>
      <c r="M361" s="8" t="s">
        <v>1046</v>
      </c>
      <c r="N361" s="2" t="s">
        <v>41</v>
      </c>
      <c r="O361" s="9" t="s">
        <v>42</v>
      </c>
      <c r="P361" s="8" t="s">
        <v>43</v>
      </c>
      <c r="Q361" s="8" t="s">
        <v>1047</v>
      </c>
    </row>
    <row r="362" customFormat="false" ht="23.85" hidden="false" customHeight="false" outlineLevel="0" collapsed="false">
      <c r="A362" s="2" t="s">
        <v>1040</v>
      </c>
      <c r="B362" s="2" t="s">
        <v>1048</v>
      </c>
      <c r="C362" s="3" t="n">
        <v>43.77</v>
      </c>
      <c r="D362" s="3" t="n">
        <v>-71.54</v>
      </c>
      <c r="E362" s="4" t="s">
        <v>19</v>
      </c>
      <c r="F362" s="5" t="n">
        <v>561</v>
      </c>
      <c r="G362" s="11" t="s">
        <v>67</v>
      </c>
      <c r="H362" s="10" t="s">
        <v>49</v>
      </c>
      <c r="I362" s="13" t="s">
        <v>69</v>
      </c>
      <c r="J362" s="2" t="s">
        <v>70</v>
      </c>
      <c r="K362" s="2" t="s">
        <v>1049</v>
      </c>
      <c r="L362" s="14" t="s">
        <v>72</v>
      </c>
      <c r="M362" s="8" t="s">
        <v>73</v>
      </c>
      <c r="N362" s="2" t="s">
        <v>41</v>
      </c>
      <c r="O362" s="9" t="s">
        <v>42</v>
      </c>
      <c r="P362" s="8" t="s">
        <v>43</v>
      </c>
      <c r="Q362" s="8" t="s">
        <v>284</v>
      </c>
    </row>
    <row r="363" customFormat="false" ht="23.85" hidden="false" customHeight="false" outlineLevel="0" collapsed="false">
      <c r="A363" s="2" t="s">
        <v>1040</v>
      </c>
      <c r="B363" s="2" t="s">
        <v>1050</v>
      </c>
      <c r="C363" s="3" t="n">
        <v>43.7</v>
      </c>
      <c r="D363" s="3" t="n">
        <v>-71.75</v>
      </c>
      <c r="E363" s="4" t="s">
        <v>19</v>
      </c>
      <c r="F363" s="5" t="n">
        <v>588</v>
      </c>
      <c r="G363" s="11" t="s">
        <v>67</v>
      </c>
      <c r="H363" s="10" t="s">
        <v>49</v>
      </c>
      <c r="I363" s="13" t="s">
        <v>69</v>
      </c>
      <c r="J363" s="2" t="s">
        <v>70</v>
      </c>
      <c r="K363" s="2" t="s">
        <v>1045</v>
      </c>
      <c r="L363" s="14" t="s">
        <v>72</v>
      </c>
      <c r="M363" s="8" t="s">
        <v>73</v>
      </c>
      <c r="N363" s="2" t="s">
        <v>41</v>
      </c>
      <c r="O363" s="9" t="s">
        <v>42</v>
      </c>
      <c r="P363" s="8" t="s">
        <v>43</v>
      </c>
      <c r="Q363" s="8" t="s">
        <v>284</v>
      </c>
    </row>
    <row r="364" customFormat="false" ht="23.85" hidden="false" customHeight="false" outlineLevel="0" collapsed="false">
      <c r="A364" s="2" t="s">
        <v>1040</v>
      </c>
      <c r="B364" s="2" t="s">
        <v>1051</v>
      </c>
      <c r="C364" s="3" t="n">
        <v>43.81</v>
      </c>
      <c r="D364" s="3" t="n">
        <v>-71.13</v>
      </c>
      <c r="E364" s="4" t="s">
        <v>19</v>
      </c>
      <c r="F364" s="5" t="n">
        <v>407</v>
      </c>
      <c r="G364" s="11" t="s">
        <v>67</v>
      </c>
      <c r="H364" s="12" t="s">
        <v>68</v>
      </c>
      <c r="I364" s="13" t="s">
        <v>69</v>
      </c>
      <c r="J364" s="2" t="s">
        <v>70</v>
      </c>
      <c r="K364" s="2" t="s">
        <v>1052</v>
      </c>
      <c r="L364" s="14" t="s">
        <v>72</v>
      </c>
      <c r="M364" s="8" t="s">
        <v>73</v>
      </c>
      <c r="N364" s="2" t="s">
        <v>41</v>
      </c>
      <c r="O364" s="9" t="s">
        <v>42</v>
      </c>
      <c r="P364" s="8" t="s">
        <v>43</v>
      </c>
      <c r="Q364" s="8" t="s">
        <v>1047</v>
      </c>
    </row>
    <row r="365" customFormat="false" ht="23.85" hidden="false" customHeight="false" outlineLevel="0" collapsed="false">
      <c r="A365" s="2" t="s">
        <v>1040</v>
      </c>
      <c r="B365" s="2" t="s">
        <v>1053</v>
      </c>
      <c r="C365" s="3" t="n">
        <v>43.39</v>
      </c>
      <c r="D365" s="3" t="n">
        <v>-72.05</v>
      </c>
      <c r="E365" s="4" t="s">
        <v>19</v>
      </c>
      <c r="F365" s="5" t="n">
        <v>1093</v>
      </c>
      <c r="G365" s="11" t="s">
        <v>67</v>
      </c>
      <c r="H365" s="10" t="s">
        <v>49</v>
      </c>
      <c r="I365" s="13" t="s">
        <v>69</v>
      </c>
      <c r="J365" s="2" t="s">
        <v>70</v>
      </c>
      <c r="K365" s="2" t="s">
        <v>1054</v>
      </c>
      <c r="L365" s="14" t="s">
        <v>72</v>
      </c>
      <c r="M365" s="8" t="s">
        <v>73</v>
      </c>
      <c r="N365" s="2" t="s">
        <v>41</v>
      </c>
      <c r="O365" s="9" t="s">
        <v>42</v>
      </c>
      <c r="P365" s="8" t="s">
        <v>43</v>
      </c>
      <c r="Q365" s="8" t="s">
        <v>284</v>
      </c>
    </row>
    <row r="366" customFormat="false" ht="23.85" hidden="false" customHeight="false" outlineLevel="0" collapsed="false">
      <c r="A366" s="2" t="s">
        <v>1040</v>
      </c>
      <c r="B366" s="2" t="s">
        <v>1055</v>
      </c>
      <c r="C366" s="3" t="n">
        <v>45.09</v>
      </c>
      <c r="D366" s="3" t="n">
        <v>-71.28</v>
      </c>
      <c r="E366" s="4" t="s">
        <v>19</v>
      </c>
      <c r="F366" s="5" t="n">
        <v>1624</v>
      </c>
      <c r="G366" s="6" t="s">
        <v>20</v>
      </c>
      <c r="H366" s="12" t="s">
        <v>68</v>
      </c>
      <c r="I366" s="7" t="s">
        <v>21</v>
      </c>
      <c r="J366" s="2" t="s">
        <v>22</v>
      </c>
      <c r="K366" s="2" t="s">
        <v>1056</v>
      </c>
      <c r="L366" s="9" t="s">
        <v>36</v>
      </c>
      <c r="M366" s="8" t="s">
        <v>176</v>
      </c>
      <c r="N366" s="2" t="s">
        <v>41</v>
      </c>
      <c r="O366" s="9" t="s">
        <v>42</v>
      </c>
      <c r="P366" s="8" t="s">
        <v>43</v>
      </c>
      <c r="Q366" s="8" t="s">
        <v>1057</v>
      </c>
    </row>
    <row r="367" customFormat="false" ht="23.85" hidden="false" customHeight="false" outlineLevel="0" collapsed="false">
      <c r="A367" s="2" t="s">
        <v>1040</v>
      </c>
      <c r="B367" s="2" t="s">
        <v>1058</v>
      </c>
      <c r="C367" s="3" t="n">
        <v>44.75</v>
      </c>
      <c r="D367" s="3" t="n">
        <v>-71.05</v>
      </c>
      <c r="E367" s="4" t="s">
        <v>19</v>
      </c>
      <c r="F367" s="5" t="n">
        <v>1245</v>
      </c>
      <c r="G367" s="11" t="s">
        <v>67</v>
      </c>
      <c r="H367" s="12" t="s">
        <v>68</v>
      </c>
      <c r="I367" s="13" t="s">
        <v>69</v>
      </c>
      <c r="J367" s="2" t="s">
        <v>70</v>
      </c>
      <c r="K367" s="2" t="s">
        <v>1059</v>
      </c>
      <c r="L367" s="9" t="s">
        <v>36</v>
      </c>
      <c r="M367" s="8" t="s">
        <v>176</v>
      </c>
      <c r="N367" s="2" t="s">
        <v>22</v>
      </c>
      <c r="O367" s="6" t="s">
        <v>26</v>
      </c>
      <c r="P367" s="8" t="s">
        <v>27</v>
      </c>
      <c r="Q367" s="8" t="s">
        <v>1060</v>
      </c>
    </row>
    <row r="368" customFormat="false" ht="23.85" hidden="false" customHeight="false" outlineLevel="0" collapsed="false">
      <c r="A368" s="2" t="s">
        <v>1040</v>
      </c>
      <c r="B368" s="2" t="s">
        <v>1061</v>
      </c>
      <c r="C368" s="3" t="n">
        <v>43.56</v>
      </c>
      <c r="D368" s="3" t="n">
        <v>-71.16</v>
      </c>
      <c r="E368" s="10" t="s">
        <v>49</v>
      </c>
      <c r="F368" s="5" t="n">
        <v>610</v>
      </c>
      <c r="G368" s="11" t="s">
        <v>67</v>
      </c>
      <c r="H368" s="12" t="s">
        <v>68</v>
      </c>
      <c r="I368" s="13" t="s">
        <v>69</v>
      </c>
      <c r="J368" s="2" t="s">
        <v>70</v>
      </c>
      <c r="K368" s="2" t="s">
        <v>1045</v>
      </c>
      <c r="L368" s="14" t="s">
        <v>72</v>
      </c>
      <c r="M368" s="8" t="s">
        <v>73</v>
      </c>
      <c r="N368" s="2" t="s">
        <v>70</v>
      </c>
      <c r="O368" s="9" t="s">
        <v>42</v>
      </c>
      <c r="P368" s="8" t="s">
        <v>43</v>
      </c>
      <c r="Q368" s="8" t="s">
        <v>284</v>
      </c>
    </row>
    <row r="369" customFormat="false" ht="23.85" hidden="false" customHeight="false" outlineLevel="0" collapsed="false">
      <c r="A369" s="2" t="s">
        <v>1040</v>
      </c>
      <c r="B369" s="2" t="s">
        <v>1062</v>
      </c>
      <c r="C369" s="3" t="n">
        <v>43.59</v>
      </c>
      <c r="D369" s="3" t="n">
        <v>-71.2</v>
      </c>
      <c r="E369" s="4" t="s">
        <v>19</v>
      </c>
      <c r="F369" s="5" t="n">
        <v>534</v>
      </c>
      <c r="G369" s="11" t="s">
        <v>67</v>
      </c>
      <c r="H369" s="12" t="s">
        <v>68</v>
      </c>
      <c r="I369" s="13" t="s">
        <v>69</v>
      </c>
      <c r="J369" s="2" t="s">
        <v>70</v>
      </c>
      <c r="K369" s="2" t="s">
        <v>1045</v>
      </c>
      <c r="L369" s="14" t="s">
        <v>72</v>
      </c>
      <c r="M369" s="8" t="s">
        <v>73</v>
      </c>
      <c r="N369" s="2" t="s">
        <v>41</v>
      </c>
      <c r="O369" s="9" t="s">
        <v>42</v>
      </c>
      <c r="P369" s="8" t="s">
        <v>43</v>
      </c>
      <c r="Q369" s="8" t="s">
        <v>284</v>
      </c>
    </row>
    <row r="370" customFormat="false" ht="23.85" hidden="false" customHeight="false" outlineLevel="0" collapsed="false">
      <c r="A370" s="2" t="s">
        <v>1040</v>
      </c>
      <c r="B370" s="2" t="s">
        <v>1063</v>
      </c>
      <c r="C370" s="3" t="n">
        <v>43</v>
      </c>
      <c r="D370" s="3" t="n">
        <v>-71.4</v>
      </c>
      <c r="E370" s="4" t="s">
        <v>19</v>
      </c>
      <c r="F370" s="5" t="n">
        <v>250</v>
      </c>
      <c r="G370" s="11" t="s">
        <v>67</v>
      </c>
      <c r="H370" s="12" t="s">
        <v>68</v>
      </c>
      <c r="I370" s="7" t="s">
        <v>21</v>
      </c>
      <c r="J370" s="2" t="s">
        <v>22</v>
      </c>
      <c r="K370" s="2" t="s">
        <v>1064</v>
      </c>
      <c r="L370" s="14" t="s">
        <v>72</v>
      </c>
      <c r="M370" s="8" t="s">
        <v>1065</v>
      </c>
      <c r="N370" s="2" t="s">
        <v>41</v>
      </c>
      <c r="O370" s="9" t="s">
        <v>42</v>
      </c>
      <c r="P370" s="8" t="s">
        <v>43</v>
      </c>
      <c r="Q370" s="8" t="s">
        <v>1066</v>
      </c>
    </row>
    <row r="371" customFormat="false" ht="23.85" hidden="false" customHeight="false" outlineLevel="0" collapsed="false">
      <c r="A371" s="2" t="s">
        <v>1040</v>
      </c>
      <c r="B371" s="2" t="s">
        <v>1067</v>
      </c>
      <c r="C371" s="3" t="n">
        <v>43.55</v>
      </c>
      <c r="D371" s="3" t="n">
        <v>-70.95</v>
      </c>
      <c r="E371" s="4" t="s">
        <v>19</v>
      </c>
      <c r="F371" s="5" t="n">
        <v>587</v>
      </c>
      <c r="G371" s="11" t="s">
        <v>67</v>
      </c>
      <c r="H371" s="12" t="s">
        <v>68</v>
      </c>
      <c r="I371" s="13" t="s">
        <v>69</v>
      </c>
      <c r="J371" s="2" t="s">
        <v>70</v>
      </c>
      <c r="K371" s="2" t="s">
        <v>1068</v>
      </c>
      <c r="L371" s="14" t="s">
        <v>72</v>
      </c>
      <c r="M371" s="8" t="s">
        <v>73</v>
      </c>
      <c r="N371" s="2" t="s">
        <v>41</v>
      </c>
      <c r="O371" s="9" t="s">
        <v>42</v>
      </c>
      <c r="P371" s="8" t="s">
        <v>43</v>
      </c>
      <c r="Q371" s="8" t="s">
        <v>1069</v>
      </c>
    </row>
    <row r="372" customFormat="false" ht="23.85" hidden="false" customHeight="false" outlineLevel="0" collapsed="false">
      <c r="A372" s="2" t="s">
        <v>1070</v>
      </c>
      <c r="B372" s="2" t="s">
        <v>1071</v>
      </c>
      <c r="C372" s="3" t="n">
        <v>40.95</v>
      </c>
      <c r="D372" s="3" t="n">
        <v>-74.63</v>
      </c>
      <c r="E372" s="4" t="s">
        <v>19</v>
      </c>
      <c r="F372" s="5" t="n">
        <v>926</v>
      </c>
      <c r="G372" s="6" t="s">
        <v>20</v>
      </c>
      <c r="H372" s="10" t="s">
        <v>49</v>
      </c>
      <c r="I372" s="13" t="s">
        <v>69</v>
      </c>
      <c r="J372" s="2" t="s">
        <v>70</v>
      </c>
      <c r="K372" s="2" t="s">
        <v>1072</v>
      </c>
      <c r="L372" s="9" t="s">
        <v>36</v>
      </c>
      <c r="M372" s="8" t="s">
        <v>176</v>
      </c>
      <c r="N372" s="2" t="s">
        <v>22</v>
      </c>
      <c r="O372" s="6" t="s">
        <v>26</v>
      </c>
      <c r="P372" s="8" t="s">
        <v>27</v>
      </c>
      <c r="Q372" s="8" t="s">
        <v>1073</v>
      </c>
    </row>
    <row r="373" customFormat="false" ht="23.85" hidden="false" customHeight="false" outlineLevel="0" collapsed="false">
      <c r="A373" s="2" t="s">
        <v>1070</v>
      </c>
      <c r="B373" s="2" t="s">
        <v>1074</v>
      </c>
      <c r="C373" s="3" t="n">
        <v>41.16</v>
      </c>
      <c r="D373" s="3" t="n">
        <v>-74.32</v>
      </c>
      <c r="E373" s="4" t="s">
        <v>19</v>
      </c>
      <c r="F373" s="5" t="n">
        <v>620</v>
      </c>
      <c r="G373" s="11" t="s">
        <v>67</v>
      </c>
      <c r="H373" s="10" t="s">
        <v>49</v>
      </c>
      <c r="I373" s="13" t="s">
        <v>69</v>
      </c>
      <c r="J373" s="2" t="s">
        <v>70</v>
      </c>
      <c r="K373" s="2" t="s">
        <v>1075</v>
      </c>
      <c r="L373" s="9" t="s">
        <v>36</v>
      </c>
      <c r="M373" s="8" t="s">
        <v>176</v>
      </c>
      <c r="N373" s="2" t="s">
        <v>41</v>
      </c>
      <c r="O373" s="9" t="s">
        <v>42</v>
      </c>
      <c r="P373" s="8" t="s">
        <v>43</v>
      </c>
      <c r="Q373" s="8" t="s">
        <v>1076</v>
      </c>
    </row>
    <row r="374" customFormat="false" ht="23.85" hidden="false" customHeight="false" outlineLevel="0" collapsed="false">
      <c r="A374" s="2" t="s">
        <v>1070</v>
      </c>
      <c r="B374" s="2" t="s">
        <v>1077</v>
      </c>
      <c r="C374" s="3" t="n">
        <v>40.62</v>
      </c>
      <c r="D374" s="3" t="n">
        <v>-74.84</v>
      </c>
      <c r="E374" s="4" t="s">
        <v>19</v>
      </c>
      <c r="F374" s="5" t="n">
        <v>385</v>
      </c>
      <c r="G374" s="6" t="s">
        <v>20</v>
      </c>
      <c r="H374" s="12" t="s">
        <v>68</v>
      </c>
      <c r="I374" s="7" t="s">
        <v>21</v>
      </c>
      <c r="J374" s="2" t="s">
        <v>22</v>
      </c>
      <c r="K374" s="2" t="s">
        <v>1078</v>
      </c>
      <c r="L374" s="9" t="s">
        <v>36</v>
      </c>
      <c r="M374" s="8" t="s">
        <v>1079</v>
      </c>
      <c r="N374" s="2" t="s">
        <v>22</v>
      </c>
      <c r="O374" s="6" t="s">
        <v>26</v>
      </c>
      <c r="P374" s="8" t="s">
        <v>27</v>
      </c>
      <c r="Q374" s="8" t="s">
        <v>1080</v>
      </c>
    </row>
    <row r="375" customFormat="false" ht="23.85" hidden="false" customHeight="false" outlineLevel="0" collapsed="false">
      <c r="A375" s="2" t="s">
        <v>1070</v>
      </c>
      <c r="B375" s="2" t="s">
        <v>1081</v>
      </c>
      <c r="C375" s="3" t="n">
        <v>40.65</v>
      </c>
      <c r="D375" s="3" t="n">
        <v>-74.93</v>
      </c>
      <c r="E375" s="4" t="s">
        <v>19</v>
      </c>
      <c r="F375" s="5" t="n">
        <v>265</v>
      </c>
      <c r="G375" s="6" t="s">
        <v>20</v>
      </c>
      <c r="H375" s="12" t="s">
        <v>68</v>
      </c>
      <c r="I375" s="7" t="s">
        <v>21</v>
      </c>
      <c r="J375" s="2" t="s">
        <v>22</v>
      </c>
      <c r="K375" s="2" t="s">
        <v>1078</v>
      </c>
      <c r="L375" s="9" t="s">
        <v>36</v>
      </c>
      <c r="M375" s="8" t="s">
        <v>1082</v>
      </c>
      <c r="N375" s="2" t="s">
        <v>22</v>
      </c>
      <c r="O375" s="6" t="s">
        <v>26</v>
      </c>
      <c r="P375" s="8" t="s">
        <v>27</v>
      </c>
      <c r="Q375" s="8" t="s">
        <v>1083</v>
      </c>
    </row>
    <row r="376" customFormat="false" ht="23.85" hidden="false" customHeight="false" outlineLevel="0" collapsed="false">
      <c r="A376" s="2" t="s">
        <v>1070</v>
      </c>
      <c r="B376" s="2" t="s">
        <v>1084</v>
      </c>
      <c r="C376" s="3" t="n">
        <v>41.04</v>
      </c>
      <c r="D376" s="3" t="n">
        <v>-74.29</v>
      </c>
      <c r="E376" s="4" t="s">
        <v>19</v>
      </c>
      <c r="F376" s="5" t="n">
        <v>296</v>
      </c>
      <c r="G376" s="6" t="s">
        <v>20</v>
      </c>
      <c r="H376" s="12" t="s">
        <v>68</v>
      </c>
      <c r="I376" s="7" t="s">
        <v>21</v>
      </c>
      <c r="J376" s="2" t="s">
        <v>22</v>
      </c>
      <c r="K376" s="2" t="s">
        <v>1085</v>
      </c>
      <c r="L376" s="9" t="s">
        <v>36</v>
      </c>
      <c r="M376" s="8" t="s">
        <v>1086</v>
      </c>
      <c r="N376" s="2" t="s">
        <v>22</v>
      </c>
      <c r="O376" s="6" t="s">
        <v>26</v>
      </c>
      <c r="P376" s="8" t="s">
        <v>27</v>
      </c>
      <c r="Q376" s="8" t="s">
        <v>1087</v>
      </c>
    </row>
    <row r="377" customFormat="false" ht="23.85" hidden="false" customHeight="false" outlineLevel="0" collapsed="false">
      <c r="A377" s="2" t="s">
        <v>1070</v>
      </c>
      <c r="B377" s="2" t="s">
        <v>1088</v>
      </c>
      <c r="C377" s="3" t="n">
        <v>41.07</v>
      </c>
      <c r="D377" s="3" t="n">
        <v>-74.83</v>
      </c>
      <c r="E377" s="4" t="s">
        <v>19</v>
      </c>
      <c r="F377" s="5" t="n">
        <v>502</v>
      </c>
      <c r="G377" s="11" t="s">
        <v>67</v>
      </c>
      <c r="H377" s="12" t="s">
        <v>68</v>
      </c>
      <c r="I377" s="13" t="s">
        <v>69</v>
      </c>
      <c r="J377" s="2" t="s">
        <v>70</v>
      </c>
      <c r="K377" s="2" t="s">
        <v>1089</v>
      </c>
      <c r="L377" s="14" t="s">
        <v>72</v>
      </c>
      <c r="M377" s="8" t="s">
        <v>73</v>
      </c>
      <c r="N377" s="2" t="s">
        <v>41</v>
      </c>
      <c r="O377" s="9" t="s">
        <v>42</v>
      </c>
      <c r="P377" s="8" t="s">
        <v>43</v>
      </c>
      <c r="Q377" s="8" t="s">
        <v>281</v>
      </c>
    </row>
    <row r="378" customFormat="false" ht="23.85" hidden="false" customHeight="false" outlineLevel="0" collapsed="false">
      <c r="A378" s="2" t="s">
        <v>1070</v>
      </c>
      <c r="B378" s="2" t="s">
        <v>1090</v>
      </c>
      <c r="C378" s="3" t="n">
        <v>40.87</v>
      </c>
      <c r="D378" s="3" t="n">
        <v>-74.73</v>
      </c>
      <c r="E378" s="4" t="s">
        <v>19</v>
      </c>
      <c r="F378" s="5" t="n">
        <v>928</v>
      </c>
      <c r="G378" s="11" t="s">
        <v>67</v>
      </c>
      <c r="H378" s="12" t="s">
        <v>68</v>
      </c>
      <c r="I378" s="13" t="s">
        <v>69</v>
      </c>
      <c r="J378" s="2" t="s">
        <v>70</v>
      </c>
      <c r="K378" s="2" t="s">
        <v>1091</v>
      </c>
      <c r="L378" s="14" t="s">
        <v>72</v>
      </c>
      <c r="M378" s="8" t="s">
        <v>73</v>
      </c>
      <c r="N378" s="2" t="s">
        <v>41</v>
      </c>
      <c r="O378" s="9" t="s">
        <v>42</v>
      </c>
      <c r="P378" s="8" t="s">
        <v>43</v>
      </c>
      <c r="Q378" s="8" t="s">
        <v>281</v>
      </c>
    </row>
    <row r="379" customFormat="false" ht="23.85" hidden="false" customHeight="false" outlineLevel="0" collapsed="false">
      <c r="A379" s="2" t="s">
        <v>1070</v>
      </c>
      <c r="B379" s="2" t="s">
        <v>1092</v>
      </c>
      <c r="C379" s="3" t="n">
        <v>41.14</v>
      </c>
      <c r="D379" s="3" t="n">
        <v>-74.75</v>
      </c>
      <c r="E379" s="4" t="s">
        <v>19</v>
      </c>
      <c r="F379" s="5" t="n">
        <v>525</v>
      </c>
      <c r="G379" s="11" t="s">
        <v>67</v>
      </c>
      <c r="H379" s="12" t="s">
        <v>68</v>
      </c>
      <c r="I379" s="13" t="s">
        <v>69</v>
      </c>
      <c r="J379" s="2" t="s">
        <v>70</v>
      </c>
      <c r="K379" s="2" t="s">
        <v>1093</v>
      </c>
      <c r="L379" s="14" t="s">
        <v>72</v>
      </c>
      <c r="M379" s="8" t="s">
        <v>73</v>
      </c>
      <c r="N379" s="2" t="s">
        <v>41</v>
      </c>
      <c r="O379" s="9" t="s">
        <v>42</v>
      </c>
      <c r="P379" s="8" t="s">
        <v>43</v>
      </c>
      <c r="Q379" s="8" t="s">
        <v>284</v>
      </c>
    </row>
    <row r="380" customFormat="false" ht="23.85" hidden="false" customHeight="false" outlineLevel="0" collapsed="false">
      <c r="A380" s="2" t="s">
        <v>1070</v>
      </c>
      <c r="B380" s="2" t="s">
        <v>1094</v>
      </c>
      <c r="C380" s="3" t="n">
        <v>40.73</v>
      </c>
      <c r="D380" s="3" t="n">
        <v>-75.05</v>
      </c>
      <c r="E380" s="4" t="s">
        <v>19</v>
      </c>
      <c r="F380" s="5" t="n">
        <v>940</v>
      </c>
      <c r="G380" s="6" t="s">
        <v>20</v>
      </c>
      <c r="H380" s="10" t="s">
        <v>49</v>
      </c>
      <c r="I380" s="7" t="s">
        <v>21</v>
      </c>
      <c r="J380" s="2" t="s">
        <v>22</v>
      </c>
      <c r="K380" s="2" t="s">
        <v>1095</v>
      </c>
      <c r="L380" s="14" t="s">
        <v>72</v>
      </c>
      <c r="M380" s="8" t="s">
        <v>1096</v>
      </c>
      <c r="N380" s="2" t="s">
        <v>41</v>
      </c>
      <c r="O380" s="9" t="s">
        <v>42</v>
      </c>
      <c r="P380" s="8" t="s">
        <v>43</v>
      </c>
      <c r="Q380" s="8" t="s">
        <v>1097</v>
      </c>
    </row>
    <row r="381" customFormat="false" ht="23.85" hidden="false" customHeight="false" outlineLevel="0" collapsed="false">
      <c r="A381" s="2" t="s">
        <v>1070</v>
      </c>
      <c r="B381" s="2" t="s">
        <v>1098</v>
      </c>
      <c r="C381" s="3" t="n">
        <v>41.11</v>
      </c>
      <c r="D381" s="3" t="n">
        <v>-74.32</v>
      </c>
      <c r="E381" s="4" t="s">
        <v>19</v>
      </c>
      <c r="F381" s="5" t="n">
        <v>745</v>
      </c>
      <c r="G381" s="6" t="s">
        <v>20</v>
      </c>
      <c r="H381" s="12" t="s">
        <v>68</v>
      </c>
      <c r="I381" s="7" t="s">
        <v>21</v>
      </c>
      <c r="J381" s="2" t="s">
        <v>22</v>
      </c>
      <c r="K381" s="2" t="s">
        <v>1085</v>
      </c>
      <c r="L381" s="9" t="s">
        <v>36</v>
      </c>
      <c r="M381" s="8" t="s">
        <v>1099</v>
      </c>
      <c r="N381" s="2" t="s">
        <v>22</v>
      </c>
      <c r="O381" s="6" t="s">
        <v>26</v>
      </c>
      <c r="P381" s="8" t="s">
        <v>27</v>
      </c>
      <c r="Q381" s="8" t="s">
        <v>1100</v>
      </c>
    </row>
    <row r="382" customFormat="false" ht="23.85" hidden="false" customHeight="false" outlineLevel="0" collapsed="false">
      <c r="A382" s="2" t="s">
        <v>1070</v>
      </c>
      <c r="B382" s="2" t="s">
        <v>1101</v>
      </c>
      <c r="C382" s="3" t="n">
        <v>40.16</v>
      </c>
      <c r="D382" s="3" t="n">
        <v>-74.14</v>
      </c>
      <c r="E382" s="4" t="s">
        <v>19</v>
      </c>
      <c r="F382" s="5" t="n">
        <v>50</v>
      </c>
      <c r="G382" s="6" t="s">
        <v>20</v>
      </c>
      <c r="H382" s="12" t="s">
        <v>68</v>
      </c>
      <c r="I382" s="7" t="s">
        <v>21</v>
      </c>
      <c r="J382" s="2" t="s">
        <v>22</v>
      </c>
      <c r="K382" s="2" t="s">
        <v>1078</v>
      </c>
      <c r="L382" s="9" t="s">
        <v>36</v>
      </c>
      <c r="M382" s="8" t="s">
        <v>1102</v>
      </c>
      <c r="N382" s="2" t="s">
        <v>22</v>
      </c>
      <c r="O382" s="6" t="s">
        <v>26</v>
      </c>
      <c r="P382" s="8" t="s">
        <v>27</v>
      </c>
      <c r="Q382" s="8" t="s">
        <v>1103</v>
      </c>
    </row>
    <row r="383" customFormat="false" ht="23.85" hidden="false" customHeight="false" outlineLevel="0" collapsed="false">
      <c r="A383" s="2" t="s">
        <v>1070</v>
      </c>
      <c r="B383" s="2" t="s">
        <v>1104</v>
      </c>
      <c r="C383" s="3" t="n">
        <v>39.73</v>
      </c>
      <c r="D383" s="3" t="n">
        <v>-74.43</v>
      </c>
      <c r="E383" s="10" t="s">
        <v>49</v>
      </c>
      <c r="F383" s="5" t="n">
        <v>90</v>
      </c>
      <c r="G383" s="11" t="s">
        <v>67</v>
      </c>
      <c r="H383" s="12" t="s">
        <v>68</v>
      </c>
      <c r="I383" s="7" t="s">
        <v>21</v>
      </c>
      <c r="J383" s="2" t="s">
        <v>22</v>
      </c>
      <c r="K383" s="2" t="s">
        <v>1105</v>
      </c>
      <c r="L383" s="14" t="s">
        <v>72</v>
      </c>
      <c r="M383" s="8" t="s">
        <v>73</v>
      </c>
      <c r="N383" s="2" t="s">
        <v>70</v>
      </c>
      <c r="O383" s="14" t="s">
        <v>294</v>
      </c>
      <c r="P383" s="8" t="s">
        <v>295</v>
      </c>
      <c r="Q383" s="8" t="s">
        <v>1106</v>
      </c>
    </row>
    <row r="384" customFormat="false" ht="23.85" hidden="false" customHeight="false" outlineLevel="0" collapsed="false">
      <c r="A384" s="2" t="s">
        <v>1107</v>
      </c>
      <c r="B384" s="2" t="s">
        <v>1108</v>
      </c>
      <c r="C384" s="3" t="n">
        <v>33.25</v>
      </c>
      <c r="D384" s="3" t="n">
        <v>-107.2</v>
      </c>
      <c r="E384" s="4" t="s">
        <v>19</v>
      </c>
      <c r="F384" s="5" t="n">
        <v>4407</v>
      </c>
      <c r="G384" s="6" t="s">
        <v>20</v>
      </c>
      <c r="H384" s="4" t="s">
        <v>19</v>
      </c>
      <c r="I384" s="7" t="s">
        <v>21</v>
      </c>
      <c r="J384" s="2" t="s">
        <v>22</v>
      </c>
      <c r="K384" s="2" t="s">
        <v>1109</v>
      </c>
      <c r="L384" s="6" t="s">
        <v>24</v>
      </c>
      <c r="M384" s="8" t="s">
        <v>1110</v>
      </c>
      <c r="N384" s="2" t="s">
        <v>22</v>
      </c>
      <c r="O384" s="6" t="s">
        <v>26</v>
      </c>
      <c r="P384" s="8" t="s">
        <v>27</v>
      </c>
      <c r="Q384" s="8" t="s">
        <v>1111</v>
      </c>
    </row>
    <row r="385" customFormat="false" ht="23.85" hidden="false" customHeight="false" outlineLevel="0" collapsed="false">
      <c r="A385" s="2" t="s">
        <v>1107</v>
      </c>
      <c r="B385" s="2" t="s">
        <v>1112</v>
      </c>
      <c r="C385" s="3" t="n">
        <v>36.8</v>
      </c>
      <c r="D385" s="3" t="n">
        <v>-107.61</v>
      </c>
      <c r="E385" s="4" t="s">
        <v>19</v>
      </c>
      <c r="F385" s="5" t="n">
        <v>6085</v>
      </c>
      <c r="G385" s="6" t="s">
        <v>20</v>
      </c>
      <c r="H385" s="4" t="s">
        <v>19</v>
      </c>
      <c r="I385" s="7" t="s">
        <v>21</v>
      </c>
      <c r="J385" s="2" t="s">
        <v>22</v>
      </c>
      <c r="K385" s="2" t="s">
        <v>589</v>
      </c>
      <c r="L385" s="6" t="s">
        <v>24</v>
      </c>
      <c r="M385" s="8" t="s">
        <v>1110</v>
      </c>
      <c r="N385" s="2" t="s">
        <v>22</v>
      </c>
      <c r="O385" s="6" t="s">
        <v>26</v>
      </c>
      <c r="P385" s="8" t="s">
        <v>27</v>
      </c>
      <c r="Q385" s="8" t="s">
        <v>255</v>
      </c>
    </row>
    <row r="386" customFormat="false" ht="23.85" hidden="false" customHeight="false" outlineLevel="0" collapsed="false">
      <c r="A386" s="2" t="s">
        <v>1107</v>
      </c>
      <c r="B386" s="2" t="s">
        <v>1113</v>
      </c>
      <c r="C386" s="3" t="n">
        <v>35.4</v>
      </c>
      <c r="D386" s="3" t="n">
        <v>-104.19</v>
      </c>
      <c r="E386" s="4" t="s">
        <v>19</v>
      </c>
      <c r="F386" s="5" t="n">
        <v>4201</v>
      </c>
      <c r="G386" s="6" t="s">
        <v>20</v>
      </c>
      <c r="H386" s="10" t="s">
        <v>49</v>
      </c>
      <c r="I386" s="7" t="s">
        <v>21</v>
      </c>
      <c r="J386" s="2" t="s">
        <v>22</v>
      </c>
      <c r="K386" s="2" t="s">
        <v>250</v>
      </c>
      <c r="L386" s="6" t="s">
        <v>24</v>
      </c>
      <c r="M386" s="8" t="s">
        <v>1114</v>
      </c>
      <c r="N386" s="2" t="s">
        <v>22</v>
      </c>
      <c r="O386" s="6" t="s">
        <v>26</v>
      </c>
      <c r="P386" s="8" t="s">
        <v>27</v>
      </c>
      <c r="Q386" s="8" t="s">
        <v>1115</v>
      </c>
    </row>
    <row r="387" customFormat="false" ht="23.85" hidden="false" customHeight="false" outlineLevel="0" collapsed="false">
      <c r="A387" s="2" t="s">
        <v>1107</v>
      </c>
      <c r="B387" s="2" t="s">
        <v>1116</v>
      </c>
      <c r="C387" s="3" t="n">
        <v>35.35</v>
      </c>
      <c r="D387" s="3" t="n">
        <v>-103.45</v>
      </c>
      <c r="E387" s="4" t="s">
        <v>19</v>
      </c>
      <c r="F387" s="5" t="n">
        <v>3787</v>
      </c>
      <c r="G387" s="6" t="s">
        <v>20</v>
      </c>
      <c r="H387" s="4" t="s">
        <v>19</v>
      </c>
      <c r="I387" s="7" t="s">
        <v>21</v>
      </c>
      <c r="J387" s="2" t="s">
        <v>22</v>
      </c>
      <c r="K387" s="2" t="s">
        <v>1117</v>
      </c>
      <c r="L387" s="9" t="s">
        <v>36</v>
      </c>
      <c r="M387" s="8" t="s">
        <v>432</v>
      </c>
      <c r="N387" s="2" t="s">
        <v>41</v>
      </c>
      <c r="O387" s="9" t="s">
        <v>42</v>
      </c>
      <c r="P387" s="8" t="s">
        <v>43</v>
      </c>
      <c r="Q387" s="8" t="s">
        <v>1118</v>
      </c>
    </row>
    <row r="388" customFormat="false" ht="23.85" hidden="false" customHeight="false" outlineLevel="0" collapsed="false">
      <c r="A388" s="2" t="s">
        <v>1107</v>
      </c>
      <c r="B388" s="2" t="s">
        <v>1119</v>
      </c>
      <c r="C388" s="3" t="n">
        <v>35.65</v>
      </c>
      <c r="D388" s="3" t="n">
        <v>-106.32</v>
      </c>
      <c r="E388" s="4" t="s">
        <v>19</v>
      </c>
      <c r="F388" s="5" t="n">
        <v>5335</v>
      </c>
      <c r="G388" s="6" t="s">
        <v>20</v>
      </c>
      <c r="H388" s="10" t="s">
        <v>49</v>
      </c>
      <c r="I388" s="7" t="s">
        <v>21</v>
      </c>
      <c r="J388" s="2" t="s">
        <v>22</v>
      </c>
      <c r="K388" s="2" t="s">
        <v>250</v>
      </c>
      <c r="L388" s="6" t="s">
        <v>24</v>
      </c>
      <c r="M388" s="8" t="s">
        <v>1114</v>
      </c>
      <c r="N388" s="2" t="s">
        <v>22</v>
      </c>
      <c r="O388" s="6" t="s">
        <v>26</v>
      </c>
      <c r="P388" s="8" t="s">
        <v>27</v>
      </c>
      <c r="Q388" s="8" t="s">
        <v>1120</v>
      </c>
    </row>
    <row r="389" customFormat="false" ht="23.85" hidden="false" customHeight="false" outlineLevel="0" collapsed="false">
      <c r="A389" s="2" t="s">
        <v>1107</v>
      </c>
      <c r="B389" s="2" t="s">
        <v>1121</v>
      </c>
      <c r="C389" s="3" t="n">
        <v>36.24</v>
      </c>
      <c r="D389" s="3" t="n">
        <v>-106.43</v>
      </c>
      <c r="E389" s="4" t="s">
        <v>19</v>
      </c>
      <c r="F389" s="5" t="n">
        <v>6220</v>
      </c>
      <c r="G389" s="6" t="s">
        <v>20</v>
      </c>
      <c r="H389" s="4" t="s">
        <v>19</v>
      </c>
      <c r="I389" s="7" t="s">
        <v>21</v>
      </c>
      <c r="J389" s="2" t="s">
        <v>22</v>
      </c>
      <c r="K389" s="2" t="s">
        <v>250</v>
      </c>
      <c r="L389" s="6" t="s">
        <v>24</v>
      </c>
      <c r="M389" s="8" t="s">
        <v>1114</v>
      </c>
      <c r="N389" s="2" t="s">
        <v>22</v>
      </c>
      <c r="O389" s="6" t="s">
        <v>26</v>
      </c>
      <c r="P389" s="8" t="s">
        <v>27</v>
      </c>
      <c r="Q389" s="8" t="s">
        <v>1122</v>
      </c>
    </row>
    <row r="390" customFormat="false" ht="23.85" hidden="false" customHeight="false" outlineLevel="0" collapsed="false">
      <c r="A390" s="2" t="s">
        <v>1107</v>
      </c>
      <c r="B390" s="2" t="s">
        <v>1123</v>
      </c>
      <c r="C390" s="3" t="n">
        <v>36.7</v>
      </c>
      <c r="D390" s="3" t="n">
        <v>-106.66</v>
      </c>
      <c r="E390" s="4" t="s">
        <v>19</v>
      </c>
      <c r="F390" s="5" t="n">
        <v>7186</v>
      </c>
      <c r="G390" s="6" t="s">
        <v>20</v>
      </c>
      <c r="H390" s="10" t="s">
        <v>49</v>
      </c>
      <c r="I390" s="7" t="s">
        <v>21</v>
      </c>
      <c r="J390" s="2" t="s">
        <v>22</v>
      </c>
      <c r="K390" s="2" t="s">
        <v>1124</v>
      </c>
      <c r="L390" s="6" t="s">
        <v>24</v>
      </c>
      <c r="M390" s="8" t="s">
        <v>1110</v>
      </c>
      <c r="N390" s="2" t="s">
        <v>41</v>
      </c>
      <c r="O390" s="9" t="s">
        <v>42</v>
      </c>
      <c r="P390" s="8" t="s">
        <v>43</v>
      </c>
      <c r="Q390" s="8" t="s">
        <v>1125</v>
      </c>
    </row>
    <row r="391" customFormat="false" ht="23.85" hidden="false" customHeight="false" outlineLevel="0" collapsed="false">
      <c r="A391" s="2" t="s">
        <v>1107</v>
      </c>
      <c r="B391" s="2" t="s">
        <v>1126</v>
      </c>
      <c r="C391" s="3" t="n">
        <v>36.59</v>
      </c>
      <c r="D391" s="3" t="n">
        <v>-106.73</v>
      </c>
      <c r="E391" s="4" t="s">
        <v>19</v>
      </c>
      <c r="F391" s="5" t="n">
        <v>6902</v>
      </c>
      <c r="G391" s="6" t="s">
        <v>20</v>
      </c>
      <c r="H391" s="10" t="s">
        <v>49</v>
      </c>
      <c r="I391" s="7" t="s">
        <v>21</v>
      </c>
      <c r="J391" s="2" t="s">
        <v>22</v>
      </c>
      <c r="K391" s="2" t="s">
        <v>589</v>
      </c>
      <c r="L391" s="6" t="s">
        <v>24</v>
      </c>
      <c r="M391" s="8" t="s">
        <v>1110</v>
      </c>
      <c r="N391" s="2" t="s">
        <v>22</v>
      </c>
      <c r="O391" s="6" t="s">
        <v>26</v>
      </c>
      <c r="P391" s="8" t="s">
        <v>27</v>
      </c>
      <c r="Q391" s="8" t="s">
        <v>1122</v>
      </c>
    </row>
    <row r="392" customFormat="false" ht="23.85" hidden="false" customHeight="false" outlineLevel="0" collapsed="false">
      <c r="A392" s="2" t="s">
        <v>1107</v>
      </c>
      <c r="B392" s="2" t="s">
        <v>1127</v>
      </c>
      <c r="C392" s="3" t="n">
        <v>32.9</v>
      </c>
      <c r="D392" s="3" t="n">
        <v>-107.31</v>
      </c>
      <c r="E392" s="4" t="s">
        <v>19</v>
      </c>
      <c r="F392" s="5" t="n">
        <v>4172.4</v>
      </c>
      <c r="G392" s="6" t="s">
        <v>20</v>
      </c>
      <c r="H392" s="4" t="s">
        <v>19</v>
      </c>
      <c r="I392" s="7" t="s">
        <v>21</v>
      </c>
      <c r="J392" s="2" t="s">
        <v>22</v>
      </c>
      <c r="K392" s="2" t="s">
        <v>1109</v>
      </c>
      <c r="L392" s="6" t="s">
        <v>24</v>
      </c>
      <c r="M392" s="8" t="s">
        <v>1110</v>
      </c>
      <c r="N392" s="2" t="s">
        <v>22</v>
      </c>
      <c r="O392" s="6" t="s">
        <v>26</v>
      </c>
      <c r="P392" s="8" t="s">
        <v>27</v>
      </c>
      <c r="Q392" s="8" t="s">
        <v>1128</v>
      </c>
    </row>
    <row r="393" customFormat="false" ht="23.85" hidden="false" customHeight="false" outlineLevel="0" collapsed="false">
      <c r="A393" s="2" t="s">
        <v>1107</v>
      </c>
      <c r="B393" s="2" t="s">
        <v>1129</v>
      </c>
      <c r="C393" s="3" t="n">
        <v>34.61</v>
      </c>
      <c r="D393" s="3" t="n">
        <v>-104.38</v>
      </c>
      <c r="E393" s="4" t="s">
        <v>19</v>
      </c>
      <c r="F393" s="5" t="n">
        <v>4262.9</v>
      </c>
      <c r="G393" s="6" t="s">
        <v>20</v>
      </c>
      <c r="H393" s="4" t="s">
        <v>19</v>
      </c>
      <c r="I393" s="7" t="s">
        <v>21</v>
      </c>
      <c r="J393" s="2" t="s">
        <v>22</v>
      </c>
      <c r="K393" s="2" t="s">
        <v>1130</v>
      </c>
      <c r="L393" s="6" t="s">
        <v>24</v>
      </c>
      <c r="M393" s="8" t="s">
        <v>1110</v>
      </c>
      <c r="N393" s="2" t="s">
        <v>22</v>
      </c>
      <c r="O393" s="6" t="s">
        <v>26</v>
      </c>
      <c r="P393" s="8" t="s">
        <v>27</v>
      </c>
      <c r="Q393" s="8" t="s">
        <v>1131</v>
      </c>
    </row>
    <row r="394" customFormat="false" ht="23.85" hidden="false" customHeight="false" outlineLevel="0" collapsed="false">
      <c r="A394" s="2" t="s">
        <v>1107</v>
      </c>
      <c r="B394" s="2" t="s">
        <v>1132</v>
      </c>
      <c r="C394" s="3" t="n">
        <v>36.53</v>
      </c>
      <c r="D394" s="3" t="n">
        <v>-105.26</v>
      </c>
      <c r="E394" s="4" t="s">
        <v>19</v>
      </c>
      <c r="F394" s="5" t="n">
        <v>8300</v>
      </c>
      <c r="G394" s="6" t="s">
        <v>20</v>
      </c>
      <c r="H394" s="10" t="s">
        <v>49</v>
      </c>
      <c r="I394" s="7" t="s">
        <v>21</v>
      </c>
      <c r="J394" s="2" t="s">
        <v>22</v>
      </c>
      <c r="K394" s="2" t="s">
        <v>1133</v>
      </c>
      <c r="L394" s="14" t="s">
        <v>72</v>
      </c>
      <c r="M394" s="8" t="s">
        <v>73</v>
      </c>
      <c r="N394" s="2" t="s">
        <v>41</v>
      </c>
      <c r="O394" s="9" t="s">
        <v>42</v>
      </c>
      <c r="P394" s="8" t="s">
        <v>43</v>
      </c>
      <c r="Q394" s="8" t="s">
        <v>1134</v>
      </c>
    </row>
    <row r="395" customFormat="false" ht="23.85" hidden="false" customHeight="false" outlineLevel="0" collapsed="false">
      <c r="A395" s="2" t="s">
        <v>1107</v>
      </c>
      <c r="B395" s="2" t="s">
        <v>1135</v>
      </c>
      <c r="C395" s="3" t="n">
        <v>35.3</v>
      </c>
      <c r="D395" s="3" t="n">
        <v>-108.1</v>
      </c>
      <c r="E395" s="10" t="s">
        <v>49</v>
      </c>
      <c r="F395" s="5" t="n">
        <v>7400</v>
      </c>
      <c r="G395" s="6" t="s">
        <v>20</v>
      </c>
      <c r="H395" s="10" t="s">
        <v>49</v>
      </c>
      <c r="I395" s="7" t="s">
        <v>21</v>
      </c>
      <c r="J395" s="2" t="s">
        <v>22</v>
      </c>
      <c r="K395" s="2" t="s">
        <v>1136</v>
      </c>
      <c r="L395" s="9" t="s">
        <v>36</v>
      </c>
      <c r="M395" s="8" t="s">
        <v>432</v>
      </c>
      <c r="N395" s="2" t="s">
        <v>41</v>
      </c>
      <c r="O395" s="9" t="s">
        <v>42</v>
      </c>
      <c r="P395" s="8" t="s">
        <v>43</v>
      </c>
      <c r="Q395" s="8" t="s">
        <v>1137</v>
      </c>
    </row>
    <row r="396" customFormat="false" ht="23.85" hidden="false" customHeight="false" outlineLevel="0" collapsed="false">
      <c r="A396" s="2" t="s">
        <v>1107</v>
      </c>
      <c r="B396" s="2" t="s">
        <v>1138</v>
      </c>
      <c r="C396" s="3" t="n">
        <v>35.03</v>
      </c>
      <c r="D396" s="3" t="n">
        <v>-104.68</v>
      </c>
      <c r="E396" s="10" t="s">
        <v>49</v>
      </c>
      <c r="F396" s="5" t="n">
        <v>4750</v>
      </c>
      <c r="G396" s="6" t="s">
        <v>20</v>
      </c>
      <c r="H396" s="4" t="s">
        <v>19</v>
      </c>
      <c r="I396" s="7" t="s">
        <v>21</v>
      </c>
      <c r="J396" s="2" t="s">
        <v>22</v>
      </c>
      <c r="K396" s="2" t="s">
        <v>250</v>
      </c>
      <c r="L396" s="6" t="s">
        <v>24</v>
      </c>
      <c r="M396" s="8" t="s">
        <v>1114</v>
      </c>
      <c r="N396" s="2" t="s">
        <v>22</v>
      </c>
      <c r="O396" s="6" t="s">
        <v>26</v>
      </c>
      <c r="P396" s="8" t="s">
        <v>27</v>
      </c>
      <c r="Q396" s="8" t="s">
        <v>1131</v>
      </c>
    </row>
    <row r="397" customFormat="false" ht="23.85" hidden="false" customHeight="false" outlineLevel="0" collapsed="false">
      <c r="A397" s="2" t="s">
        <v>1139</v>
      </c>
      <c r="B397" s="2" t="s">
        <v>1140</v>
      </c>
      <c r="C397" s="3" t="n">
        <v>43.55</v>
      </c>
      <c r="D397" s="3" t="n">
        <v>-77.5</v>
      </c>
      <c r="E397" s="10" t="s">
        <v>49</v>
      </c>
      <c r="F397" s="5" t="n">
        <v>245</v>
      </c>
      <c r="G397" s="11" t="s">
        <v>67</v>
      </c>
      <c r="H397" s="4" t="s">
        <v>19</v>
      </c>
      <c r="I397" s="13" t="s">
        <v>69</v>
      </c>
      <c r="J397" s="2" t="s">
        <v>70</v>
      </c>
      <c r="K397" s="2" t="s">
        <v>1141</v>
      </c>
      <c r="L397" s="9" t="s">
        <v>36</v>
      </c>
      <c r="M397" s="8" t="s">
        <v>432</v>
      </c>
      <c r="N397" s="2" t="s">
        <v>22</v>
      </c>
      <c r="O397" s="6" t="s">
        <v>26</v>
      </c>
      <c r="P397" s="8" t="s">
        <v>27</v>
      </c>
      <c r="Q397" s="8" t="s">
        <v>1142</v>
      </c>
    </row>
    <row r="398" customFormat="false" ht="23.85" hidden="false" customHeight="false" outlineLevel="0" collapsed="false">
      <c r="A398" s="2" t="s">
        <v>1139</v>
      </c>
      <c r="B398" s="2" t="s">
        <v>817</v>
      </c>
      <c r="C398" s="3" t="n">
        <v>42.55</v>
      </c>
      <c r="D398" s="3" t="n">
        <v>-79.6</v>
      </c>
      <c r="E398" s="10" t="s">
        <v>49</v>
      </c>
      <c r="F398" s="5" t="n">
        <v>571</v>
      </c>
      <c r="G398" s="11" t="s">
        <v>67</v>
      </c>
      <c r="H398" s="4" t="s">
        <v>19</v>
      </c>
      <c r="I398" s="13" t="s">
        <v>69</v>
      </c>
      <c r="J398" s="2" t="s">
        <v>70</v>
      </c>
      <c r="K398" s="2" t="s">
        <v>1143</v>
      </c>
      <c r="L398" s="9" t="s">
        <v>36</v>
      </c>
      <c r="M398" s="8" t="s">
        <v>432</v>
      </c>
      <c r="N398" s="2" t="s">
        <v>22</v>
      </c>
      <c r="O398" s="15" t="s">
        <v>104</v>
      </c>
      <c r="P398" s="8" t="s">
        <v>474</v>
      </c>
      <c r="Q398" s="8" t="s">
        <v>649</v>
      </c>
    </row>
    <row r="399" customFormat="false" ht="23.85" hidden="false" customHeight="false" outlineLevel="0" collapsed="false">
      <c r="A399" s="2" t="s">
        <v>1139</v>
      </c>
      <c r="B399" s="2" t="s">
        <v>1144</v>
      </c>
      <c r="C399" s="3" t="n">
        <v>44.5</v>
      </c>
      <c r="D399" s="3" t="n">
        <v>-73.35</v>
      </c>
      <c r="E399" s="10" t="s">
        <v>49</v>
      </c>
      <c r="F399" s="5" t="n">
        <v>96</v>
      </c>
      <c r="G399" s="11" t="s">
        <v>67</v>
      </c>
      <c r="H399" s="10" t="s">
        <v>49</v>
      </c>
      <c r="I399" s="13" t="s">
        <v>69</v>
      </c>
      <c r="J399" s="2" t="s">
        <v>70</v>
      </c>
      <c r="K399" s="2" t="s">
        <v>1145</v>
      </c>
      <c r="L399" s="9" t="s">
        <v>36</v>
      </c>
      <c r="M399" s="8" t="s">
        <v>432</v>
      </c>
      <c r="N399" s="2" t="s">
        <v>22</v>
      </c>
      <c r="O399" s="15" t="s">
        <v>104</v>
      </c>
      <c r="P399" s="8" t="s">
        <v>105</v>
      </c>
      <c r="Q399" s="8" t="s">
        <v>1146</v>
      </c>
    </row>
    <row r="400" customFormat="false" ht="23.85" hidden="false" customHeight="false" outlineLevel="0" collapsed="false">
      <c r="A400" s="2" t="s">
        <v>1139</v>
      </c>
      <c r="B400" s="2" t="s">
        <v>1147</v>
      </c>
      <c r="C400" s="3" t="n">
        <v>43.2</v>
      </c>
      <c r="D400" s="3" t="n">
        <v>-75.92</v>
      </c>
      <c r="E400" s="4" t="s">
        <v>19</v>
      </c>
      <c r="F400" s="5" t="n">
        <v>369</v>
      </c>
      <c r="G400" s="11" t="s">
        <v>67</v>
      </c>
      <c r="H400" s="10" t="s">
        <v>49</v>
      </c>
      <c r="I400" s="13" t="s">
        <v>69</v>
      </c>
      <c r="J400" s="2" t="s">
        <v>70</v>
      </c>
      <c r="K400" s="2" t="s">
        <v>1148</v>
      </c>
      <c r="L400" s="9" t="s">
        <v>36</v>
      </c>
      <c r="M400" s="8" t="s">
        <v>432</v>
      </c>
      <c r="N400" s="2" t="s">
        <v>22</v>
      </c>
      <c r="O400" s="15" t="s">
        <v>104</v>
      </c>
      <c r="P400" s="8" t="s">
        <v>105</v>
      </c>
      <c r="Q400" s="8" t="s">
        <v>1149</v>
      </c>
    </row>
    <row r="401" customFormat="false" ht="23.85" hidden="false" customHeight="false" outlineLevel="0" collapsed="false">
      <c r="A401" s="2" t="s">
        <v>1139</v>
      </c>
      <c r="B401" s="2" t="s">
        <v>1150</v>
      </c>
      <c r="C401" s="3" t="n">
        <v>42.67</v>
      </c>
      <c r="D401" s="3" t="n">
        <v>-76.92</v>
      </c>
      <c r="E401" s="4" t="s">
        <v>19</v>
      </c>
      <c r="F401" s="5" t="n">
        <v>445</v>
      </c>
      <c r="G401" s="11" t="s">
        <v>67</v>
      </c>
      <c r="H401" s="10" t="s">
        <v>49</v>
      </c>
      <c r="I401" s="13" t="s">
        <v>69</v>
      </c>
      <c r="J401" s="2" t="s">
        <v>70</v>
      </c>
      <c r="K401" s="2" t="s">
        <v>1148</v>
      </c>
      <c r="L401" s="9" t="s">
        <v>36</v>
      </c>
      <c r="M401" s="8" t="s">
        <v>432</v>
      </c>
      <c r="N401" s="2" t="s">
        <v>41</v>
      </c>
      <c r="O401" s="15" t="s">
        <v>104</v>
      </c>
      <c r="P401" s="8" t="s">
        <v>105</v>
      </c>
      <c r="Q401" s="8" t="s">
        <v>1151</v>
      </c>
    </row>
    <row r="402" customFormat="false" ht="23.85" hidden="false" customHeight="false" outlineLevel="0" collapsed="false">
      <c r="A402" s="2" t="s">
        <v>1139</v>
      </c>
      <c r="B402" s="2" t="s">
        <v>1152</v>
      </c>
      <c r="C402" s="3" t="n">
        <v>42.7</v>
      </c>
      <c r="D402" s="3" t="n">
        <v>-76.72</v>
      </c>
      <c r="E402" s="4" t="s">
        <v>19</v>
      </c>
      <c r="F402" s="5" t="n">
        <v>381.9</v>
      </c>
      <c r="G402" s="11" t="s">
        <v>67</v>
      </c>
      <c r="H402" s="4" t="s">
        <v>19</v>
      </c>
      <c r="I402" s="13" t="s">
        <v>69</v>
      </c>
      <c r="J402" s="2" t="s">
        <v>70</v>
      </c>
      <c r="K402" s="2" t="s">
        <v>1148</v>
      </c>
      <c r="L402" s="9" t="s">
        <v>36</v>
      </c>
      <c r="M402" s="8" t="s">
        <v>432</v>
      </c>
      <c r="N402" s="2" t="s">
        <v>22</v>
      </c>
      <c r="O402" s="6" t="s">
        <v>26</v>
      </c>
      <c r="P402" s="8" t="s">
        <v>27</v>
      </c>
      <c r="Q402" s="8" t="s">
        <v>1151</v>
      </c>
    </row>
    <row r="403" customFormat="false" ht="23.85" hidden="false" customHeight="false" outlineLevel="0" collapsed="false">
      <c r="A403" s="2" t="s">
        <v>1139</v>
      </c>
      <c r="B403" s="2" t="s">
        <v>329</v>
      </c>
      <c r="C403" s="3" t="n">
        <v>43.55</v>
      </c>
      <c r="D403" s="3" t="n">
        <v>-73.62</v>
      </c>
      <c r="E403" s="4" t="s">
        <v>19</v>
      </c>
      <c r="F403" s="5" t="n">
        <v>320</v>
      </c>
      <c r="G403" s="11" t="s">
        <v>67</v>
      </c>
      <c r="H403" s="4" t="s">
        <v>19</v>
      </c>
      <c r="I403" s="13" t="s">
        <v>69</v>
      </c>
      <c r="J403" s="2" t="s">
        <v>70</v>
      </c>
      <c r="K403" s="2" t="s">
        <v>1145</v>
      </c>
      <c r="L403" s="9" t="s">
        <v>36</v>
      </c>
      <c r="M403" s="8" t="s">
        <v>432</v>
      </c>
      <c r="N403" s="2" t="s">
        <v>22</v>
      </c>
      <c r="O403" s="6" t="s">
        <v>26</v>
      </c>
      <c r="P403" s="8" t="s">
        <v>27</v>
      </c>
      <c r="Q403" s="8" t="s">
        <v>1153</v>
      </c>
    </row>
    <row r="404" customFormat="false" ht="23.85" hidden="false" customHeight="false" outlineLevel="0" collapsed="false">
      <c r="A404" s="2" t="s">
        <v>1139</v>
      </c>
      <c r="B404" s="2" t="s">
        <v>1154</v>
      </c>
      <c r="C404" s="3" t="n">
        <v>43.15</v>
      </c>
      <c r="D404" s="3" t="n">
        <v>-74.15</v>
      </c>
      <c r="E404" s="4" t="s">
        <v>19</v>
      </c>
      <c r="F404" s="5" t="n">
        <v>771</v>
      </c>
      <c r="G404" s="6" t="s">
        <v>20</v>
      </c>
      <c r="H404" s="10" t="s">
        <v>49</v>
      </c>
      <c r="I404" s="7" t="s">
        <v>21</v>
      </c>
      <c r="J404" s="2" t="s">
        <v>22</v>
      </c>
      <c r="K404" s="2" t="s">
        <v>1155</v>
      </c>
      <c r="L404" s="9" t="s">
        <v>36</v>
      </c>
      <c r="M404" s="8" t="s">
        <v>1156</v>
      </c>
      <c r="N404" s="2" t="s">
        <v>22</v>
      </c>
      <c r="O404" s="6" t="s">
        <v>26</v>
      </c>
      <c r="P404" s="8" t="s">
        <v>27</v>
      </c>
      <c r="Q404" s="8" t="s">
        <v>1157</v>
      </c>
    </row>
    <row r="405" customFormat="false" ht="23.85" hidden="false" customHeight="false" outlineLevel="0" collapsed="false">
      <c r="A405" s="2" t="s">
        <v>1139</v>
      </c>
      <c r="B405" s="2" t="s">
        <v>1158</v>
      </c>
      <c r="C405" s="3" t="n">
        <v>42.15</v>
      </c>
      <c r="D405" s="3" t="n">
        <v>-79.4</v>
      </c>
      <c r="E405" s="4" t="s">
        <v>19</v>
      </c>
      <c r="F405" s="5" t="n">
        <v>1308</v>
      </c>
      <c r="G405" s="11" t="s">
        <v>67</v>
      </c>
      <c r="H405" s="10" t="s">
        <v>49</v>
      </c>
      <c r="I405" s="13" t="s">
        <v>69</v>
      </c>
      <c r="J405" s="2" t="s">
        <v>70</v>
      </c>
      <c r="K405" s="2" t="s">
        <v>1145</v>
      </c>
      <c r="L405" s="9" t="s">
        <v>36</v>
      </c>
      <c r="M405" s="8" t="s">
        <v>432</v>
      </c>
      <c r="N405" s="2" t="s">
        <v>41</v>
      </c>
      <c r="O405" s="9" t="s">
        <v>42</v>
      </c>
      <c r="P405" s="8" t="s">
        <v>43</v>
      </c>
      <c r="Q405" s="8" t="s">
        <v>1159</v>
      </c>
    </row>
    <row r="406" customFormat="false" ht="23.85" hidden="false" customHeight="false" outlineLevel="0" collapsed="false">
      <c r="A406" s="2" t="s">
        <v>1139</v>
      </c>
      <c r="B406" s="2" t="s">
        <v>1160</v>
      </c>
      <c r="C406" s="3" t="n">
        <v>42.75</v>
      </c>
      <c r="D406" s="3" t="n">
        <v>-77.3</v>
      </c>
      <c r="E406" s="4" t="s">
        <v>19</v>
      </c>
      <c r="F406" s="5" t="n">
        <v>688</v>
      </c>
      <c r="G406" s="11" t="s">
        <v>67</v>
      </c>
      <c r="H406" s="4" t="s">
        <v>19</v>
      </c>
      <c r="I406" s="13" t="s">
        <v>69</v>
      </c>
      <c r="J406" s="2" t="s">
        <v>70</v>
      </c>
      <c r="K406" s="2" t="s">
        <v>1145</v>
      </c>
      <c r="L406" s="9" t="s">
        <v>36</v>
      </c>
      <c r="M406" s="8" t="s">
        <v>432</v>
      </c>
      <c r="N406" s="2" t="s">
        <v>41</v>
      </c>
      <c r="O406" s="9" t="s">
        <v>42</v>
      </c>
      <c r="P406" s="8" t="s">
        <v>43</v>
      </c>
      <c r="Q406" s="8" t="s">
        <v>1151</v>
      </c>
    </row>
    <row r="407" customFormat="false" ht="23.85" hidden="false" customHeight="false" outlineLevel="0" collapsed="false">
      <c r="A407" s="2" t="s">
        <v>1139</v>
      </c>
      <c r="B407" s="2" t="s">
        <v>1161</v>
      </c>
      <c r="C407" s="3" t="n">
        <v>42.55</v>
      </c>
      <c r="D407" s="3" t="n">
        <v>-77.1</v>
      </c>
      <c r="E407" s="4" t="s">
        <v>19</v>
      </c>
      <c r="F407" s="5" t="n">
        <v>715</v>
      </c>
      <c r="G407" s="11" t="s">
        <v>67</v>
      </c>
      <c r="H407" s="4" t="s">
        <v>19</v>
      </c>
      <c r="I407" s="13" t="s">
        <v>69</v>
      </c>
      <c r="J407" s="2" t="s">
        <v>70</v>
      </c>
      <c r="K407" s="2" t="s">
        <v>1145</v>
      </c>
      <c r="L407" s="9" t="s">
        <v>36</v>
      </c>
      <c r="M407" s="8" t="s">
        <v>432</v>
      </c>
      <c r="N407" s="2" t="s">
        <v>41</v>
      </c>
      <c r="O407" s="9" t="s">
        <v>42</v>
      </c>
      <c r="P407" s="8" t="s">
        <v>43</v>
      </c>
      <c r="Q407" s="8" t="s">
        <v>1153</v>
      </c>
    </row>
    <row r="408" customFormat="false" ht="23.85" hidden="false" customHeight="false" outlineLevel="0" collapsed="false">
      <c r="A408" s="2" t="s">
        <v>1139</v>
      </c>
      <c r="B408" s="2" t="s">
        <v>1162</v>
      </c>
      <c r="C408" s="3" t="n">
        <v>42.9</v>
      </c>
      <c r="D408" s="3" t="n">
        <v>-76.42</v>
      </c>
      <c r="E408" s="4" t="s">
        <v>19</v>
      </c>
      <c r="F408" s="5" t="n">
        <v>863.3</v>
      </c>
      <c r="G408" s="11" t="s">
        <v>67</v>
      </c>
      <c r="H408" s="4" t="s">
        <v>19</v>
      </c>
      <c r="I408" s="13" t="s">
        <v>69</v>
      </c>
      <c r="J408" s="2" t="s">
        <v>70</v>
      </c>
      <c r="K408" s="2" t="s">
        <v>1163</v>
      </c>
      <c r="L408" s="9" t="s">
        <v>36</v>
      </c>
      <c r="M408" s="8" t="s">
        <v>432</v>
      </c>
      <c r="N408" s="2" t="s">
        <v>41</v>
      </c>
      <c r="O408" s="9" t="s">
        <v>42</v>
      </c>
      <c r="P408" s="8" t="s">
        <v>43</v>
      </c>
      <c r="Q408" s="8" t="s">
        <v>1164</v>
      </c>
    </row>
    <row r="409" customFormat="false" ht="23.85" hidden="false" customHeight="false" outlineLevel="0" collapsed="false">
      <c r="A409" s="2" t="s">
        <v>1139</v>
      </c>
      <c r="B409" s="2" t="s">
        <v>1165</v>
      </c>
      <c r="C409" s="3" t="n">
        <v>42.85</v>
      </c>
      <c r="D409" s="3" t="n">
        <v>-76.53</v>
      </c>
      <c r="E409" s="4" t="s">
        <v>19</v>
      </c>
      <c r="F409" s="5" t="n">
        <v>712</v>
      </c>
      <c r="G409" s="11" t="s">
        <v>67</v>
      </c>
      <c r="H409" s="4" t="s">
        <v>19</v>
      </c>
      <c r="I409" s="13" t="s">
        <v>69</v>
      </c>
      <c r="J409" s="2" t="s">
        <v>70</v>
      </c>
      <c r="K409" s="2" t="s">
        <v>1145</v>
      </c>
      <c r="L409" s="9" t="s">
        <v>36</v>
      </c>
      <c r="M409" s="8" t="s">
        <v>432</v>
      </c>
      <c r="N409" s="2" t="s">
        <v>41</v>
      </c>
      <c r="O409" s="9" t="s">
        <v>42</v>
      </c>
      <c r="P409" s="8" t="s">
        <v>43</v>
      </c>
      <c r="Q409" s="8" t="s">
        <v>1151</v>
      </c>
    </row>
    <row r="410" customFormat="false" ht="23.85" hidden="false" customHeight="false" outlineLevel="0" collapsed="false">
      <c r="A410" s="2" t="s">
        <v>1139</v>
      </c>
      <c r="B410" s="2" t="s">
        <v>1166</v>
      </c>
      <c r="C410" s="3" t="n">
        <v>44.18</v>
      </c>
      <c r="D410" s="3" t="n">
        <v>-74.83</v>
      </c>
      <c r="E410" s="10" t="s">
        <v>49</v>
      </c>
      <c r="F410" s="5" t="n">
        <v>1497</v>
      </c>
      <c r="G410" s="6" t="s">
        <v>20</v>
      </c>
      <c r="H410" s="12" t="s">
        <v>68</v>
      </c>
      <c r="I410" s="13" t="s">
        <v>69</v>
      </c>
      <c r="J410" s="2" t="s">
        <v>70</v>
      </c>
      <c r="K410" s="2" t="s">
        <v>1167</v>
      </c>
      <c r="L410" s="14" t="s">
        <v>72</v>
      </c>
      <c r="M410" s="8" t="s">
        <v>73</v>
      </c>
      <c r="N410" s="2" t="s">
        <v>70</v>
      </c>
      <c r="O410" s="9" t="s">
        <v>42</v>
      </c>
      <c r="P410" s="8" t="s">
        <v>43</v>
      </c>
      <c r="Q410" s="8" t="s">
        <v>1168</v>
      </c>
    </row>
    <row r="411" customFormat="false" ht="23.85" hidden="false" customHeight="false" outlineLevel="0" collapsed="false">
      <c r="A411" s="2" t="s">
        <v>1139</v>
      </c>
      <c r="B411" s="2" t="s">
        <v>1169</v>
      </c>
      <c r="C411" s="3" t="n">
        <v>43.75</v>
      </c>
      <c r="D411" s="3" t="n">
        <v>-74.27</v>
      </c>
      <c r="E411" s="10" t="s">
        <v>49</v>
      </c>
      <c r="F411" s="5" t="n">
        <v>1651</v>
      </c>
      <c r="G411" s="6" t="s">
        <v>20</v>
      </c>
      <c r="H411" s="10" t="s">
        <v>49</v>
      </c>
      <c r="I411" s="7" t="s">
        <v>21</v>
      </c>
      <c r="J411" s="2" t="s">
        <v>22</v>
      </c>
      <c r="K411" s="2" t="s">
        <v>1170</v>
      </c>
      <c r="L411" s="9" t="s">
        <v>36</v>
      </c>
      <c r="M411" s="8" t="s">
        <v>432</v>
      </c>
      <c r="N411" s="2" t="s">
        <v>41</v>
      </c>
      <c r="O411" s="9" t="s">
        <v>42</v>
      </c>
      <c r="P411" s="8" t="s">
        <v>43</v>
      </c>
      <c r="Q411" s="8" t="s">
        <v>1171</v>
      </c>
    </row>
    <row r="412" customFormat="false" ht="23.85" hidden="false" customHeight="false" outlineLevel="0" collapsed="false">
      <c r="A412" s="2" t="s">
        <v>1172</v>
      </c>
      <c r="B412" s="2" t="s">
        <v>1173</v>
      </c>
      <c r="C412" s="3" t="n">
        <v>35.55</v>
      </c>
      <c r="D412" s="3" t="n">
        <v>-80.95</v>
      </c>
      <c r="E412" s="4" t="s">
        <v>19</v>
      </c>
      <c r="F412" s="5" t="n">
        <v>760</v>
      </c>
      <c r="G412" s="6" t="s">
        <v>20</v>
      </c>
      <c r="H412" s="4" t="s">
        <v>19</v>
      </c>
      <c r="I412" s="7" t="s">
        <v>21</v>
      </c>
      <c r="J412" s="2" t="s">
        <v>22</v>
      </c>
      <c r="K412" s="2" t="s">
        <v>1174</v>
      </c>
      <c r="L412" s="6" t="s">
        <v>24</v>
      </c>
      <c r="M412" s="8" t="s">
        <v>1175</v>
      </c>
      <c r="N412" s="2" t="s">
        <v>41</v>
      </c>
      <c r="O412" s="9" t="s">
        <v>42</v>
      </c>
      <c r="P412" s="8" t="s">
        <v>43</v>
      </c>
      <c r="Q412" s="8" t="s">
        <v>1176</v>
      </c>
    </row>
    <row r="413" customFormat="false" ht="23.85" hidden="false" customHeight="false" outlineLevel="0" collapsed="false">
      <c r="A413" s="2" t="s">
        <v>1172</v>
      </c>
      <c r="B413" s="2" t="s">
        <v>1177</v>
      </c>
      <c r="C413" s="3" t="n">
        <v>36.52</v>
      </c>
      <c r="D413" s="3" t="n">
        <v>-77.95</v>
      </c>
      <c r="E413" s="4" t="s">
        <v>19</v>
      </c>
      <c r="F413" s="5" t="n">
        <v>200</v>
      </c>
      <c r="G413" s="6" t="s">
        <v>20</v>
      </c>
      <c r="H413" s="4" t="s">
        <v>19</v>
      </c>
      <c r="I413" s="7" t="s">
        <v>21</v>
      </c>
      <c r="J413" s="2" t="s">
        <v>22</v>
      </c>
      <c r="K413" s="2" t="s">
        <v>1178</v>
      </c>
      <c r="L413" s="9" t="s">
        <v>36</v>
      </c>
      <c r="M413" s="8" t="s">
        <v>432</v>
      </c>
      <c r="N413" s="2" t="s">
        <v>22</v>
      </c>
      <c r="O413" s="6" t="s">
        <v>26</v>
      </c>
      <c r="P413" s="8" t="s">
        <v>27</v>
      </c>
      <c r="Q413" s="8" t="s">
        <v>1179</v>
      </c>
    </row>
    <row r="414" customFormat="false" ht="23.85" hidden="false" customHeight="false" outlineLevel="0" collapsed="false">
      <c r="A414" s="2" t="s">
        <v>1172</v>
      </c>
      <c r="B414" s="2" t="s">
        <v>1180</v>
      </c>
      <c r="C414" s="3" t="n">
        <v>36.02</v>
      </c>
      <c r="D414" s="3" t="n">
        <v>-78.7</v>
      </c>
      <c r="E414" s="4" t="s">
        <v>19</v>
      </c>
      <c r="F414" s="5" t="n">
        <v>251.5</v>
      </c>
      <c r="G414" s="6" t="s">
        <v>20</v>
      </c>
      <c r="H414" s="4" t="s">
        <v>19</v>
      </c>
      <c r="I414" s="7" t="s">
        <v>21</v>
      </c>
      <c r="J414" s="2" t="s">
        <v>22</v>
      </c>
      <c r="K414" s="2" t="s">
        <v>1181</v>
      </c>
      <c r="L414" s="6" t="s">
        <v>24</v>
      </c>
      <c r="M414" s="8" t="s">
        <v>1182</v>
      </c>
      <c r="N414" s="2" t="s">
        <v>22</v>
      </c>
      <c r="O414" s="6" t="s">
        <v>26</v>
      </c>
      <c r="P414" s="8" t="s">
        <v>27</v>
      </c>
      <c r="Q414" s="8" t="s">
        <v>1183</v>
      </c>
    </row>
    <row r="415" customFormat="false" ht="23.85" hidden="false" customHeight="false" outlineLevel="0" collapsed="false">
      <c r="A415" s="2" t="s">
        <v>1172</v>
      </c>
      <c r="B415" s="2" t="s">
        <v>1184</v>
      </c>
      <c r="C415" s="3" t="n">
        <v>35.73</v>
      </c>
      <c r="D415" s="3" t="n">
        <v>-79.02</v>
      </c>
      <c r="E415" s="4" t="s">
        <v>19</v>
      </c>
      <c r="F415" s="5" t="n">
        <v>216</v>
      </c>
      <c r="G415" s="6" t="s">
        <v>20</v>
      </c>
      <c r="H415" s="4" t="s">
        <v>19</v>
      </c>
      <c r="I415" s="7" t="s">
        <v>21</v>
      </c>
      <c r="J415" s="2" t="s">
        <v>22</v>
      </c>
      <c r="K415" s="2" t="s">
        <v>1181</v>
      </c>
      <c r="L415" s="6" t="s">
        <v>24</v>
      </c>
      <c r="M415" s="8" t="s">
        <v>1182</v>
      </c>
      <c r="N415" s="2" t="s">
        <v>22</v>
      </c>
      <c r="O415" s="6" t="s">
        <v>26</v>
      </c>
      <c r="P415" s="8" t="s">
        <v>27</v>
      </c>
      <c r="Q415" s="8" t="s">
        <v>1185</v>
      </c>
    </row>
    <row r="416" customFormat="false" ht="23.85" hidden="false" customHeight="false" outlineLevel="0" collapsed="false">
      <c r="A416" s="2" t="s">
        <v>1172</v>
      </c>
      <c r="B416" s="2" t="s">
        <v>1186</v>
      </c>
      <c r="C416" s="3" t="n">
        <v>35.48</v>
      </c>
      <c r="D416" s="3" t="n">
        <v>-76.18</v>
      </c>
      <c r="E416" s="4" t="s">
        <v>19</v>
      </c>
      <c r="F416" s="5" t="n">
        <v>0</v>
      </c>
      <c r="G416" s="11" t="s">
        <v>67</v>
      </c>
      <c r="H416" s="12" t="s">
        <v>68</v>
      </c>
      <c r="I416" s="13" t="s">
        <v>69</v>
      </c>
      <c r="J416" s="2" t="s">
        <v>70</v>
      </c>
      <c r="K416" s="2" t="s">
        <v>1187</v>
      </c>
      <c r="L416" s="14" t="s">
        <v>72</v>
      </c>
      <c r="M416" s="8" t="s">
        <v>73</v>
      </c>
      <c r="N416" s="2" t="s">
        <v>41</v>
      </c>
      <c r="O416" s="9" t="s">
        <v>42</v>
      </c>
      <c r="P416" s="8" t="s">
        <v>43</v>
      </c>
      <c r="Q416" s="8" t="s">
        <v>1188</v>
      </c>
    </row>
    <row r="417" customFormat="false" ht="23.85" hidden="false" customHeight="false" outlineLevel="0" collapsed="false">
      <c r="A417" s="2" t="s">
        <v>1172</v>
      </c>
      <c r="B417" s="2" t="s">
        <v>1189</v>
      </c>
      <c r="C417" s="3" t="n">
        <v>35.43</v>
      </c>
      <c r="D417" s="3" t="n">
        <v>-83.75</v>
      </c>
      <c r="E417" s="4" t="s">
        <v>19</v>
      </c>
      <c r="F417" s="5" t="n">
        <v>1710</v>
      </c>
      <c r="G417" s="6" t="s">
        <v>20</v>
      </c>
      <c r="H417" s="4" t="s">
        <v>19</v>
      </c>
      <c r="I417" s="7" t="s">
        <v>21</v>
      </c>
      <c r="J417" s="2" t="s">
        <v>22</v>
      </c>
      <c r="K417" s="2" t="s">
        <v>23</v>
      </c>
      <c r="L417" s="6" t="s">
        <v>24</v>
      </c>
      <c r="M417" s="8" t="s">
        <v>30</v>
      </c>
      <c r="N417" s="2" t="s">
        <v>22</v>
      </c>
      <c r="O417" s="6" t="s">
        <v>26</v>
      </c>
      <c r="P417" s="8" t="s">
        <v>27</v>
      </c>
      <c r="Q417" s="8" t="s">
        <v>1190</v>
      </c>
    </row>
    <row r="418" customFormat="false" ht="23.85" hidden="false" customHeight="false" outlineLevel="0" collapsed="false">
      <c r="A418" s="2" t="s">
        <v>1172</v>
      </c>
      <c r="B418" s="2" t="s">
        <v>1191</v>
      </c>
      <c r="C418" s="3" t="n">
        <v>35.63</v>
      </c>
      <c r="D418" s="3" t="n">
        <v>-80.25</v>
      </c>
      <c r="E418" s="4" t="s">
        <v>19</v>
      </c>
      <c r="F418" s="5" t="n">
        <v>655.2</v>
      </c>
      <c r="G418" s="6" t="s">
        <v>20</v>
      </c>
      <c r="H418" s="4" t="s">
        <v>19</v>
      </c>
      <c r="I418" s="7" t="s">
        <v>21</v>
      </c>
      <c r="J418" s="2" t="s">
        <v>22</v>
      </c>
      <c r="K418" s="2" t="s">
        <v>1192</v>
      </c>
      <c r="L418" s="6" t="s">
        <v>24</v>
      </c>
      <c r="M418" s="8" t="s">
        <v>1193</v>
      </c>
      <c r="N418" s="2" t="s">
        <v>41</v>
      </c>
      <c r="O418" s="9" t="s">
        <v>42</v>
      </c>
      <c r="P418" s="8" t="s">
        <v>43</v>
      </c>
      <c r="Q418" s="8" t="s">
        <v>1194</v>
      </c>
    </row>
    <row r="419" customFormat="false" ht="23.85" hidden="false" customHeight="false" outlineLevel="0" collapsed="false">
      <c r="A419" s="2" t="s">
        <v>1172</v>
      </c>
      <c r="B419" s="2" t="s">
        <v>1195</v>
      </c>
      <c r="C419" s="3" t="n">
        <v>35.75</v>
      </c>
      <c r="D419" s="3" t="n">
        <v>-81.88</v>
      </c>
      <c r="E419" s="4" t="s">
        <v>19</v>
      </c>
      <c r="F419" s="5" t="n">
        <v>1200</v>
      </c>
      <c r="G419" s="6" t="s">
        <v>20</v>
      </c>
      <c r="H419" s="4" t="s">
        <v>19</v>
      </c>
      <c r="I419" s="7" t="s">
        <v>21</v>
      </c>
      <c r="J419" s="2" t="s">
        <v>22</v>
      </c>
      <c r="K419" s="2" t="s">
        <v>1196</v>
      </c>
      <c r="L419" s="6" t="s">
        <v>24</v>
      </c>
      <c r="M419" s="8" t="s">
        <v>1175</v>
      </c>
      <c r="N419" s="2" t="s">
        <v>41</v>
      </c>
      <c r="O419" s="9" t="s">
        <v>42</v>
      </c>
      <c r="P419" s="8" t="s">
        <v>43</v>
      </c>
      <c r="Q419" s="8" t="s">
        <v>1197</v>
      </c>
    </row>
    <row r="420" customFormat="false" ht="23.85" hidden="false" customHeight="false" outlineLevel="0" collapsed="false">
      <c r="A420" s="2" t="s">
        <v>1172</v>
      </c>
      <c r="B420" s="2" t="s">
        <v>1198</v>
      </c>
      <c r="C420" s="3" t="n">
        <v>35.15</v>
      </c>
      <c r="D420" s="3" t="n">
        <v>-81.03</v>
      </c>
      <c r="E420" s="4" t="s">
        <v>19</v>
      </c>
      <c r="F420" s="5" t="n">
        <v>569.4</v>
      </c>
      <c r="G420" s="6" t="s">
        <v>20</v>
      </c>
      <c r="H420" s="4" t="s">
        <v>19</v>
      </c>
      <c r="I420" s="7" t="s">
        <v>21</v>
      </c>
      <c r="J420" s="2" t="s">
        <v>22</v>
      </c>
      <c r="K420" s="2" t="s">
        <v>1196</v>
      </c>
      <c r="L420" s="6" t="s">
        <v>24</v>
      </c>
      <c r="M420" s="8" t="s">
        <v>1175</v>
      </c>
      <c r="N420" s="2" t="s">
        <v>22</v>
      </c>
      <c r="O420" s="6" t="s">
        <v>26</v>
      </c>
      <c r="P420" s="8" t="s">
        <v>27</v>
      </c>
      <c r="Q420" s="8" t="s">
        <v>1176</v>
      </c>
    </row>
    <row r="421" customFormat="false" ht="23.85" hidden="false" customHeight="false" outlineLevel="0" collapsed="false">
      <c r="A421" s="2" t="s">
        <v>1172</v>
      </c>
      <c r="B421" s="2" t="s">
        <v>1199</v>
      </c>
      <c r="C421" s="3" t="n">
        <v>36.55</v>
      </c>
      <c r="D421" s="3" t="n">
        <v>-78.3</v>
      </c>
      <c r="E421" s="4" t="s">
        <v>19</v>
      </c>
      <c r="F421" s="5" t="n">
        <v>300</v>
      </c>
      <c r="G421" s="6" t="s">
        <v>20</v>
      </c>
      <c r="H421" s="4" t="s">
        <v>19</v>
      </c>
      <c r="I421" s="7" t="s">
        <v>21</v>
      </c>
      <c r="J421" s="2" t="s">
        <v>22</v>
      </c>
      <c r="K421" s="2" t="s">
        <v>1181</v>
      </c>
      <c r="L421" s="6" t="s">
        <v>24</v>
      </c>
      <c r="M421" s="8" t="s">
        <v>1182</v>
      </c>
      <c r="N421" s="2" t="s">
        <v>22</v>
      </c>
      <c r="O421" s="6" t="s">
        <v>26</v>
      </c>
      <c r="P421" s="8" t="s">
        <v>27</v>
      </c>
      <c r="Q421" s="8" t="s">
        <v>1179</v>
      </c>
    </row>
    <row r="422" customFormat="false" ht="23.85" hidden="false" customHeight="false" outlineLevel="0" collapsed="false">
      <c r="A422" s="2" t="s">
        <v>1172</v>
      </c>
      <c r="B422" s="2" t="s">
        <v>1200</v>
      </c>
      <c r="C422" s="3" t="n">
        <v>35.78</v>
      </c>
      <c r="D422" s="3" t="n">
        <v>-81.25</v>
      </c>
      <c r="E422" s="10" t="s">
        <v>49</v>
      </c>
      <c r="F422" s="5" t="n">
        <v>935</v>
      </c>
      <c r="G422" s="6" t="s">
        <v>20</v>
      </c>
      <c r="H422" s="4" t="s">
        <v>19</v>
      </c>
      <c r="I422" s="7" t="s">
        <v>21</v>
      </c>
      <c r="J422" s="2" t="s">
        <v>22</v>
      </c>
      <c r="K422" s="2" t="s">
        <v>1201</v>
      </c>
      <c r="L422" s="6" t="s">
        <v>24</v>
      </c>
      <c r="M422" s="8" t="s">
        <v>1175</v>
      </c>
      <c r="N422" s="2" t="s">
        <v>41</v>
      </c>
      <c r="O422" s="9" t="s">
        <v>42</v>
      </c>
      <c r="P422" s="8" t="s">
        <v>43</v>
      </c>
      <c r="Q422" s="8" t="s">
        <v>1176</v>
      </c>
    </row>
    <row r="423" customFormat="false" ht="23.85" hidden="false" customHeight="false" outlineLevel="0" collapsed="false">
      <c r="A423" s="2" t="s">
        <v>1172</v>
      </c>
      <c r="B423" s="2" t="s">
        <v>1202</v>
      </c>
      <c r="C423" s="3" t="n">
        <v>35.42</v>
      </c>
      <c r="D423" s="3" t="n">
        <v>-80.1</v>
      </c>
      <c r="E423" s="4" t="s">
        <v>19</v>
      </c>
      <c r="F423" s="5" t="n">
        <v>541</v>
      </c>
      <c r="G423" s="6" t="s">
        <v>20</v>
      </c>
      <c r="H423" s="4" t="s">
        <v>19</v>
      </c>
      <c r="I423" s="7" t="s">
        <v>21</v>
      </c>
      <c r="J423" s="2" t="s">
        <v>22</v>
      </c>
      <c r="K423" s="2" t="s">
        <v>1203</v>
      </c>
      <c r="L423" s="6" t="s">
        <v>24</v>
      </c>
      <c r="M423" s="8" t="s">
        <v>1193</v>
      </c>
      <c r="N423" s="2" t="s">
        <v>41</v>
      </c>
      <c r="O423" s="9" t="s">
        <v>42</v>
      </c>
      <c r="P423" s="8" t="s">
        <v>43</v>
      </c>
      <c r="Q423" s="8" t="s">
        <v>1194</v>
      </c>
    </row>
    <row r="424" customFormat="false" ht="23.85" hidden="false" customHeight="false" outlineLevel="0" collapsed="false">
      <c r="A424" s="2" t="s">
        <v>1172</v>
      </c>
      <c r="B424" s="2" t="s">
        <v>1204</v>
      </c>
      <c r="C424" s="3" t="n">
        <v>34.28</v>
      </c>
      <c r="D424" s="3" t="n">
        <v>-78.5</v>
      </c>
      <c r="E424" s="4" t="s">
        <v>19</v>
      </c>
      <c r="F424" s="5" t="n">
        <v>43</v>
      </c>
      <c r="G424" s="11" t="s">
        <v>67</v>
      </c>
      <c r="H424" s="10" t="s">
        <v>49</v>
      </c>
      <c r="I424" s="13" t="s">
        <v>69</v>
      </c>
      <c r="J424" s="2" t="s">
        <v>70</v>
      </c>
      <c r="K424" s="2" t="s">
        <v>1205</v>
      </c>
      <c r="L424" s="14" t="s">
        <v>72</v>
      </c>
      <c r="M424" s="8" t="s">
        <v>73</v>
      </c>
      <c r="N424" s="2" t="s">
        <v>41</v>
      </c>
      <c r="O424" s="9" t="s">
        <v>42</v>
      </c>
      <c r="P424" s="8" t="s">
        <v>43</v>
      </c>
      <c r="Q424" s="8" t="s">
        <v>1206</v>
      </c>
    </row>
    <row r="425" customFormat="false" ht="23.85" hidden="false" customHeight="false" outlineLevel="0" collapsed="false">
      <c r="A425" s="2" t="s">
        <v>1172</v>
      </c>
      <c r="B425" s="2" t="s">
        <v>1207</v>
      </c>
      <c r="C425" s="3" t="n">
        <v>35.2</v>
      </c>
      <c r="D425" s="3" t="n">
        <v>-84.05</v>
      </c>
      <c r="E425" s="10" t="s">
        <v>49</v>
      </c>
      <c r="F425" s="5" t="n">
        <v>1526.5</v>
      </c>
      <c r="G425" s="6" t="s">
        <v>20</v>
      </c>
      <c r="H425" s="4" t="s">
        <v>19</v>
      </c>
      <c r="I425" s="7" t="s">
        <v>21</v>
      </c>
      <c r="J425" s="2" t="s">
        <v>22</v>
      </c>
      <c r="K425" s="2" t="s">
        <v>23</v>
      </c>
      <c r="L425" s="6" t="s">
        <v>24</v>
      </c>
      <c r="M425" s="8" t="s">
        <v>30</v>
      </c>
      <c r="N425" s="2" t="s">
        <v>22</v>
      </c>
      <c r="O425" s="6" t="s">
        <v>26</v>
      </c>
      <c r="P425" s="8" t="s">
        <v>27</v>
      </c>
      <c r="Q425" s="8" t="s">
        <v>1190</v>
      </c>
    </row>
    <row r="426" customFormat="false" ht="23.85" hidden="false" customHeight="false" outlineLevel="0" collapsed="false">
      <c r="A426" s="2" t="s">
        <v>1208</v>
      </c>
      <c r="B426" s="2" t="s">
        <v>1209</v>
      </c>
      <c r="C426" s="3" t="n">
        <v>47.85</v>
      </c>
      <c r="D426" s="3" t="n">
        <v>-102.3</v>
      </c>
      <c r="E426" s="4" t="s">
        <v>19</v>
      </c>
      <c r="F426" s="5" t="n">
        <v>1854</v>
      </c>
      <c r="G426" s="6" t="s">
        <v>20</v>
      </c>
      <c r="H426" s="4" t="s">
        <v>19</v>
      </c>
      <c r="I426" s="7" t="s">
        <v>21</v>
      </c>
      <c r="J426" s="2" t="s">
        <v>22</v>
      </c>
      <c r="K426" s="2" t="s">
        <v>1210</v>
      </c>
      <c r="L426" s="6" t="s">
        <v>24</v>
      </c>
      <c r="M426" s="8" t="s">
        <v>1211</v>
      </c>
      <c r="N426" s="2" t="s">
        <v>22</v>
      </c>
      <c r="O426" s="6" t="s">
        <v>26</v>
      </c>
      <c r="P426" s="8" t="s">
        <v>27</v>
      </c>
      <c r="Q426" s="8" t="s">
        <v>1212</v>
      </c>
    </row>
    <row r="427" customFormat="false" ht="23.85" hidden="false" customHeight="false" outlineLevel="0" collapsed="false">
      <c r="A427" s="2" t="s">
        <v>1208</v>
      </c>
      <c r="B427" s="2" t="s">
        <v>1213</v>
      </c>
      <c r="C427" s="3" t="n">
        <v>46.2</v>
      </c>
      <c r="D427" s="3" t="n">
        <v>-100.6</v>
      </c>
      <c r="E427" s="10" t="s">
        <v>49</v>
      </c>
      <c r="F427" s="5" t="n">
        <v>1620</v>
      </c>
      <c r="G427" s="6" t="s">
        <v>20</v>
      </c>
      <c r="H427" s="4" t="s">
        <v>19</v>
      </c>
      <c r="I427" s="7" t="s">
        <v>21</v>
      </c>
      <c r="J427" s="2" t="s">
        <v>22</v>
      </c>
      <c r="K427" s="2" t="s">
        <v>1214</v>
      </c>
      <c r="L427" s="6" t="s">
        <v>24</v>
      </c>
      <c r="M427" s="8" t="s">
        <v>1211</v>
      </c>
      <c r="N427" s="2" t="s">
        <v>22</v>
      </c>
      <c r="O427" s="6" t="s">
        <v>26</v>
      </c>
      <c r="P427" s="8" t="s">
        <v>27</v>
      </c>
      <c r="Q427" s="8" t="s">
        <v>1212</v>
      </c>
    </row>
    <row r="428" customFormat="false" ht="23.85" hidden="false" customHeight="false" outlineLevel="0" collapsed="false">
      <c r="A428" s="2" t="s">
        <v>1208</v>
      </c>
      <c r="B428" s="2" t="s">
        <v>1215</v>
      </c>
      <c r="C428" s="3" t="n">
        <v>48</v>
      </c>
      <c r="D428" s="3" t="n">
        <v>-98.87</v>
      </c>
      <c r="E428" s="4" t="s">
        <v>19</v>
      </c>
      <c r="F428" s="5" t="n">
        <v>1449</v>
      </c>
      <c r="G428" s="11" t="s">
        <v>67</v>
      </c>
      <c r="H428" s="10" t="s">
        <v>49</v>
      </c>
      <c r="I428" s="13" t="s">
        <v>69</v>
      </c>
      <c r="J428" s="2" t="s">
        <v>70</v>
      </c>
      <c r="K428" s="2" t="s">
        <v>1216</v>
      </c>
      <c r="L428" s="9" t="s">
        <v>36</v>
      </c>
      <c r="M428" s="8" t="s">
        <v>432</v>
      </c>
      <c r="N428" s="2" t="s">
        <v>22</v>
      </c>
      <c r="O428" s="15" t="s">
        <v>104</v>
      </c>
      <c r="P428" s="8" t="s">
        <v>105</v>
      </c>
      <c r="Q428" s="8" t="s">
        <v>1018</v>
      </c>
    </row>
    <row r="429" customFormat="false" ht="23.85" hidden="false" customHeight="false" outlineLevel="0" collapsed="false">
      <c r="A429" s="2" t="s">
        <v>1208</v>
      </c>
      <c r="B429" s="2" t="s">
        <v>1217</v>
      </c>
      <c r="C429" s="3" t="n">
        <v>47.15</v>
      </c>
      <c r="D429" s="3" t="n">
        <v>-98.05</v>
      </c>
      <c r="E429" s="10" t="s">
        <v>49</v>
      </c>
      <c r="F429" s="5" t="n">
        <v>1266</v>
      </c>
      <c r="G429" s="6" t="s">
        <v>20</v>
      </c>
      <c r="H429" s="4" t="s">
        <v>19</v>
      </c>
      <c r="I429" s="7" t="s">
        <v>21</v>
      </c>
      <c r="J429" s="2" t="s">
        <v>22</v>
      </c>
      <c r="K429" s="2" t="s">
        <v>1218</v>
      </c>
      <c r="L429" s="6" t="s">
        <v>24</v>
      </c>
      <c r="M429" s="8" t="s">
        <v>1219</v>
      </c>
      <c r="N429" s="2" t="s">
        <v>22</v>
      </c>
      <c r="O429" s="6" t="s">
        <v>26</v>
      </c>
      <c r="P429" s="8" t="s">
        <v>27</v>
      </c>
      <c r="Q429" s="8" t="s">
        <v>1220</v>
      </c>
    </row>
    <row r="430" customFormat="false" ht="23.85" hidden="false" customHeight="false" outlineLevel="0" collapsed="false">
      <c r="A430" s="2" t="s">
        <v>1208</v>
      </c>
      <c r="B430" s="2" t="s">
        <v>1221</v>
      </c>
      <c r="C430" s="3" t="n">
        <v>47.03</v>
      </c>
      <c r="D430" s="3" t="n">
        <v>-98.72</v>
      </c>
      <c r="E430" s="10" t="s">
        <v>49</v>
      </c>
      <c r="F430" s="5" t="n">
        <v>1432</v>
      </c>
      <c r="G430" s="6" t="s">
        <v>20</v>
      </c>
      <c r="H430" s="4" t="s">
        <v>19</v>
      </c>
      <c r="I430" s="7" t="s">
        <v>21</v>
      </c>
      <c r="J430" s="2" t="s">
        <v>22</v>
      </c>
      <c r="K430" s="2" t="s">
        <v>1222</v>
      </c>
      <c r="L430" s="6" t="s">
        <v>24</v>
      </c>
      <c r="M430" s="8" t="s">
        <v>1110</v>
      </c>
      <c r="N430" s="2" t="s">
        <v>22</v>
      </c>
      <c r="O430" s="6" t="s">
        <v>26</v>
      </c>
      <c r="P430" s="8" t="s">
        <v>27</v>
      </c>
      <c r="Q430" s="8" t="s">
        <v>1223</v>
      </c>
    </row>
    <row r="431" customFormat="false" ht="23.85" hidden="false" customHeight="false" outlineLevel="0" collapsed="false">
      <c r="A431" s="2" t="s">
        <v>1208</v>
      </c>
      <c r="B431" s="2" t="s">
        <v>1224</v>
      </c>
      <c r="C431" s="3" t="n">
        <v>46.62</v>
      </c>
      <c r="D431" s="3" t="n">
        <v>-101.75</v>
      </c>
      <c r="E431" s="10" t="s">
        <v>49</v>
      </c>
      <c r="F431" s="5" t="n">
        <v>2064.5</v>
      </c>
      <c r="G431" s="6" t="s">
        <v>20</v>
      </c>
      <c r="H431" s="4" t="s">
        <v>19</v>
      </c>
      <c r="I431" s="7" t="s">
        <v>21</v>
      </c>
      <c r="J431" s="2" t="s">
        <v>22</v>
      </c>
      <c r="K431" s="2" t="s">
        <v>1225</v>
      </c>
      <c r="L431" s="6" t="s">
        <v>24</v>
      </c>
      <c r="M431" s="8" t="s">
        <v>1110</v>
      </c>
      <c r="N431" s="2" t="s">
        <v>41</v>
      </c>
      <c r="O431" s="9" t="s">
        <v>42</v>
      </c>
      <c r="P431" s="8" t="s">
        <v>43</v>
      </c>
      <c r="Q431" s="8" t="s">
        <v>1226</v>
      </c>
    </row>
    <row r="432" customFormat="false" ht="23.85" hidden="false" customHeight="false" outlineLevel="0" collapsed="false">
      <c r="A432" s="2" t="s">
        <v>1208</v>
      </c>
      <c r="B432" s="2" t="s">
        <v>1227</v>
      </c>
      <c r="C432" s="3" t="n">
        <v>46.03</v>
      </c>
      <c r="D432" s="3" t="n">
        <v>-103.3</v>
      </c>
      <c r="E432" s="10" t="s">
        <v>49</v>
      </c>
      <c r="F432" s="5" t="n">
        <v>2754.8</v>
      </c>
      <c r="G432" s="6" t="s">
        <v>20</v>
      </c>
      <c r="H432" s="4" t="s">
        <v>19</v>
      </c>
      <c r="I432" s="7" t="s">
        <v>21</v>
      </c>
      <c r="J432" s="2" t="s">
        <v>22</v>
      </c>
      <c r="K432" s="2" t="s">
        <v>1228</v>
      </c>
      <c r="L432" s="6" t="s">
        <v>24</v>
      </c>
      <c r="M432" s="8" t="s">
        <v>1219</v>
      </c>
      <c r="N432" s="2" t="s">
        <v>41</v>
      </c>
      <c r="O432" s="9" t="s">
        <v>42</v>
      </c>
      <c r="P432" s="8" t="s">
        <v>43</v>
      </c>
      <c r="Q432" s="8" t="s">
        <v>1229</v>
      </c>
    </row>
    <row r="433" customFormat="false" ht="23.85" hidden="false" customHeight="false" outlineLevel="0" collapsed="false">
      <c r="A433" s="2" t="s">
        <v>1208</v>
      </c>
      <c r="B433" s="2" t="s">
        <v>1230</v>
      </c>
      <c r="C433" s="3" t="n">
        <v>48.98</v>
      </c>
      <c r="D433" s="3" t="n">
        <v>-100.34</v>
      </c>
      <c r="E433" s="10" t="s">
        <v>49</v>
      </c>
      <c r="F433" s="5" t="n">
        <v>2221</v>
      </c>
      <c r="G433" s="11" t="s">
        <v>67</v>
      </c>
      <c r="H433" s="12" t="s">
        <v>68</v>
      </c>
      <c r="I433" s="13" t="s">
        <v>69</v>
      </c>
      <c r="J433" s="2" t="s">
        <v>70</v>
      </c>
      <c r="K433" s="2" t="s">
        <v>1231</v>
      </c>
      <c r="L433" s="14" t="s">
        <v>72</v>
      </c>
      <c r="M433" s="8" t="s">
        <v>73</v>
      </c>
      <c r="N433" s="2" t="s">
        <v>41</v>
      </c>
      <c r="O433" s="9" t="s">
        <v>42</v>
      </c>
      <c r="P433" s="8" t="s">
        <v>43</v>
      </c>
      <c r="Q433" s="8" t="s">
        <v>649</v>
      </c>
    </row>
    <row r="434" customFormat="false" ht="23.85" hidden="false" customHeight="false" outlineLevel="0" collapsed="false">
      <c r="A434" s="2" t="s">
        <v>1208</v>
      </c>
      <c r="B434" s="2" t="s">
        <v>1232</v>
      </c>
      <c r="C434" s="3" t="n">
        <v>46.87</v>
      </c>
      <c r="D434" s="3" t="n">
        <v>-102.83</v>
      </c>
      <c r="E434" s="10" t="s">
        <v>49</v>
      </c>
      <c r="F434" s="5" t="n">
        <v>2413</v>
      </c>
      <c r="G434" s="6" t="s">
        <v>20</v>
      </c>
      <c r="H434" s="12" t="s">
        <v>68</v>
      </c>
      <c r="I434" s="7" t="s">
        <v>21</v>
      </c>
      <c r="J434" s="2" t="s">
        <v>22</v>
      </c>
      <c r="K434" s="2" t="s">
        <v>1233</v>
      </c>
      <c r="L434" s="6" t="s">
        <v>24</v>
      </c>
      <c r="M434" s="8" t="s">
        <v>1110</v>
      </c>
      <c r="N434" s="2" t="s">
        <v>41</v>
      </c>
      <c r="O434" s="9" t="s">
        <v>42</v>
      </c>
      <c r="P434" s="8" t="s">
        <v>43</v>
      </c>
      <c r="Q434" s="8" t="s">
        <v>1226</v>
      </c>
    </row>
    <row r="435" customFormat="false" ht="23.85" hidden="false" customHeight="false" outlineLevel="0" collapsed="false">
      <c r="A435" s="2" t="s">
        <v>1208</v>
      </c>
      <c r="B435" s="2" t="s">
        <v>1234</v>
      </c>
      <c r="C435" s="3" t="n">
        <v>47.3</v>
      </c>
      <c r="D435" s="3" t="n">
        <v>-101.45</v>
      </c>
      <c r="E435" s="10" t="s">
        <v>49</v>
      </c>
      <c r="F435" s="5" t="n">
        <v>1800</v>
      </c>
      <c r="G435" s="6" t="s">
        <v>20</v>
      </c>
      <c r="H435" s="12" t="s">
        <v>68</v>
      </c>
      <c r="I435" s="7" t="s">
        <v>21</v>
      </c>
      <c r="J435" s="2" t="s">
        <v>22</v>
      </c>
      <c r="K435" s="2" t="s">
        <v>1235</v>
      </c>
      <c r="L435" s="14" t="s">
        <v>72</v>
      </c>
      <c r="M435" s="8" t="s">
        <v>73</v>
      </c>
      <c r="N435" s="2" t="s">
        <v>70</v>
      </c>
      <c r="O435" s="9" t="s">
        <v>42</v>
      </c>
      <c r="P435" s="8" t="s">
        <v>43</v>
      </c>
      <c r="Q435" s="8" t="s">
        <v>1236</v>
      </c>
    </row>
    <row r="436" customFormat="false" ht="23.85" hidden="false" customHeight="false" outlineLevel="0" collapsed="false">
      <c r="A436" s="2" t="s">
        <v>1208</v>
      </c>
      <c r="B436" s="2" t="s">
        <v>1237</v>
      </c>
      <c r="C436" s="3" t="n">
        <v>48.55</v>
      </c>
      <c r="D436" s="3" t="n">
        <v>-101.55</v>
      </c>
      <c r="E436" s="10" t="s">
        <v>49</v>
      </c>
      <c r="F436" s="5" t="n">
        <v>1598</v>
      </c>
      <c r="G436" s="6" t="s">
        <v>20</v>
      </c>
      <c r="H436" s="4" t="s">
        <v>19</v>
      </c>
      <c r="I436" s="7" t="s">
        <v>21</v>
      </c>
      <c r="J436" s="2" t="s">
        <v>22</v>
      </c>
      <c r="K436" s="2" t="s">
        <v>1238</v>
      </c>
      <c r="L436" s="9" t="s">
        <v>36</v>
      </c>
      <c r="M436" s="8" t="s">
        <v>432</v>
      </c>
      <c r="N436" s="2" t="s">
        <v>22</v>
      </c>
      <c r="O436" s="6" t="s">
        <v>26</v>
      </c>
      <c r="P436" s="8" t="s">
        <v>27</v>
      </c>
      <c r="Q436" s="8" t="s">
        <v>1239</v>
      </c>
    </row>
    <row r="437" customFormat="false" ht="23.85" hidden="false" customHeight="false" outlineLevel="0" collapsed="false">
      <c r="A437" s="2" t="s">
        <v>1208</v>
      </c>
      <c r="B437" s="2" t="s">
        <v>1240</v>
      </c>
      <c r="C437" s="3" t="n">
        <v>47.95</v>
      </c>
      <c r="D437" s="3" t="n">
        <v>-98.42</v>
      </c>
      <c r="E437" s="10" t="s">
        <v>49</v>
      </c>
      <c r="F437" s="5" t="n">
        <v>1449</v>
      </c>
      <c r="G437" s="11" t="s">
        <v>67</v>
      </c>
      <c r="H437" s="12" t="s">
        <v>68</v>
      </c>
      <c r="I437" s="13" t="s">
        <v>69</v>
      </c>
      <c r="J437" s="2" t="s">
        <v>70</v>
      </c>
      <c r="K437" s="2" t="s">
        <v>1241</v>
      </c>
      <c r="L437" s="9" t="s">
        <v>36</v>
      </c>
      <c r="M437" s="8" t="s">
        <v>432</v>
      </c>
      <c r="N437" s="2" t="s">
        <v>41</v>
      </c>
      <c r="O437" s="9" t="s">
        <v>42</v>
      </c>
      <c r="P437" s="8" t="s">
        <v>43</v>
      </c>
      <c r="Q437" s="8" t="s">
        <v>649</v>
      </c>
    </row>
    <row r="438" customFormat="false" ht="23.85" hidden="false" customHeight="false" outlineLevel="0" collapsed="false">
      <c r="A438" s="2" t="s">
        <v>1242</v>
      </c>
      <c r="B438" s="2" t="s">
        <v>1243</v>
      </c>
      <c r="C438" s="3" t="n">
        <v>40.53</v>
      </c>
      <c r="D438" s="3" t="n">
        <v>-84.5</v>
      </c>
      <c r="E438" s="4" t="s">
        <v>19</v>
      </c>
      <c r="F438" s="5" t="n">
        <v>872</v>
      </c>
      <c r="G438" s="6" t="s">
        <v>20</v>
      </c>
      <c r="H438" s="10" t="s">
        <v>49</v>
      </c>
      <c r="I438" s="7" t="s">
        <v>21</v>
      </c>
      <c r="J438" s="2" t="s">
        <v>22</v>
      </c>
      <c r="K438" s="2" t="s">
        <v>1244</v>
      </c>
      <c r="L438" s="9" t="s">
        <v>36</v>
      </c>
      <c r="M438" s="8" t="s">
        <v>432</v>
      </c>
      <c r="N438" s="2" t="s">
        <v>41</v>
      </c>
      <c r="O438" s="9" t="s">
        <v>42</v>
      </c>
      <c r="P438" s="8" t="s">
        <v>43</v>
      </c>
      <c r="Q438" s="8" t="s">
        <v>1245</v>
      </c>
    </row>
    <row r="439" customFormat="false" ht="23.85" hidden="false" customHeight="false" outlineLevel="0" collapsed="false">
      <c r="A439" s="2" t="s">
        <v>1242</v>
      </c>
      <c r="B439" s="2" t="s">
        <v>817</v>
      </c>
      <c r="C439" s="3" t="n">
        <v>41.6</v>
      </c>
      <c r="D439" s="3" t="n">
        <v>-82.5</v>
      </c>
      <c r="E439" s="10" t="s">
        <v>49</v>
      </c>
      <c r="F439" s="5" t="n">
        <v>571</v>
      </c>
      <c r="G439" s="11" t="s">
        <v>67</v>
      </c>
      <c r="H439" s="4" t="s">
        <v>19</v>
      </c>
      <c r="I439" s="13" t="s">
        <v>69</v>
      </c>
      <c r="J439" s="2" t="s">
        <v>70</v>
      </c>
      <c r="K439" s="2" t="s">
        <v>1143</v>
      </c>
      <c r="L439" s="9" t="s">
        <v>36</v>
      </c>
      <c r="M439" s="8" t="s">
        <v>432</v>
      </c>
      <c r="N439" s="2" t="s">
        <v>22</v>
      </c>
      <c r="O439" s="15" t="s">
        <v>104</v>
      </c>
      <c r="P439" s="8" t="s">
        <v>474</v>
      </c>
      <c r="Q439" s="8" t="s">
        <v>649</v>
      </c>
    </row>
    <row r="440" customFormat="false" ht="23.85" hidden="false" customHeight="false" outlineLevel="0" collapsed="false">
      <c r="A440" s="2" t="s">
        <v>1242</v>
      </c>
      <c r="B440" s="2" t="s">
        <v>1246</v>
      </c>
      <c r="C440" s="3" t="n">
        <v>41.3</v>
      </c>
      <c r="D440" s="3" t="n">
        <v>-80.76</v>
      </c>
      <c r="E440" s="4" t="s">
        <v>19</v>
      </c>
      <c r="F440" s="5" t="n">
        <v>900.5</v>
      </c>
      <c r="G440" s="6" t="s">
        <v>20</v>
      </c>
      <c r="H440" s="4" t="s">
        <v>19</v>
      </c>
      <c r="I440" s="7" t="s">
        <v>21</v>
      </c>
      <c r="J440" s="2" t="s">
        <v>22</v>
      </c>
      <c r="K440" s="2" t="s">
        <v>1247</v>
      </c>
      <c r="L440" s="6" t="s">
        <v>24</v>
      </c>
      <c r="M440" s="8" t="s">
        <v>1248</v>
      </c>
      <c r="N440" s="2" t="s">
        <v>22</v>
      </c>
      <c r="O440" s="6" t="s">
        <v>26</v>
      </c>
      <c r="P440" s="8" t="s">
        <v>27</v>
      </c>
      <c r="Q440" s="8" t="s">
        <v>1249</v>
      </c>
    </row>
    <row r="441" customFormat="false" ht="23.85" hidden="false" customHeight="false" outlineLevel="0" collapsed="false">
      <c r="A441" s="2" t="s">
        <v>1242</v>
      </c>
      <c r="B441" s="2" t="s">
        <v>1250</v>
      </c>
      <c r="C441" s="3" t="n">
        <v>41.55</v>
      </c>
      <c r="D441" s="3" t="n">
        <v>-80.52</v>
      </c>
      <c r="E441" s="4" t="s">
        <v>19</v>
      </c>
      <c r="F441" s="5" t="n">
        <v>1008.5</v>
      </c>
      <c r="G441" s="6" t="s">
        <v>20</v>
      </c>
      <c r="H441" s="4" t="s">
        <v>19</v>
      </c>
      <c r="I441" s="7" t="s">
        <v>21</v>
      </c>
      <c r="J441" s="2" t="s">
        <v>22</v>
      </c>
      <c r="K441" s="2" t="s">
        <v>1251</v>
      </c>
      <c r="L441" s="9" t="s">
        <v>36</v>
      </c>
      <c r="M441" s="8" t="s">
        <v>432</v>
      </c>
      <c r="N441" s="2" t="s">
        <v>41</v>
      </c>
      <c r="O441" s="9" t="s">
        <v>42</v>
      </c>
      <c r="P441" s="8" t="s">
        <v>43</v>
      </c>
      <c r="Q441" s="8" t="s">
        <v>1252</v>
      </c>
    </row>
    <row r="442" customFormat="false" ht="23.85" hidden="false" customHeight="false" outlineLevel="0" collapsed="false">
      <c r="A442" s="2" t="s">
        <v>1242</v>
      </c>
      <c r="B442" s="2" t="s">
        <v>1253</v>
      </c>
      <c r="C442" s="3" t="n">
        <v>41.03</v>
      </c>
      <c r="D442" s="3" t="n">
        <v>-81</v>
      </c>
      <c r="E442" s="4" t="s">
        <v>19</v>
      </c>
      <c r="F442" s="5" t="n">
        <v>1024</v>
      </c>
      <c r="G442" s="6" t="s">
        <v>20</v>
      </c>
      <c r="H442" s="4" t="s">
        <v>19</v>
      </c>
      <c r="I442" s="7" t="s">
        <v>21</v>
      </c>
      <c r="J442" s="2" t="s">
        <v>22</v>
      </c>
      <c r="K442" s="2" t="s">
        <v>1247</v>
      </c>
      <c r="L442" s="6" t="s">
        <v>24</v>
      </c>
      <c r="M442" s="8" t="s">
        <v>1248</v>
      </c>
      <c r="N442" s="2" t="s">
        <v>22</v>
      </c>
      <c r="O442" s="6" t="s">
        <v>26</v>
      </c>
      <c r="P442" s="8" t="s">
        <v>27</v>
      </c>
      <c r="Q442" s="8" t="s">
        <v>1254</v>
      </c>
    </row>
    <row r="443" customFormat="false" ht="23.85" hidden="false" customHeight="false" outlineLevel="0" collapsed="false">
      <c r="A443" s="2" t="s">
        <v>1242</v>
      </c>
      <c r="B443" s="2" t="s">
        <v>1169</v>
      </c>
      <c r="C443" s="3" t="n">
        <v>40.5</v>
      </c>
      <c r="D443" s="3" t="n">
        <v>-83.9</v>
      </c>
      <c r="E443" s="4" t="s">
        <v>19</v>
      </c>
      <c r="F443" s="5" t="n">
        <v>996</v>
      </c>
      <c r="G443" s="6" t="s">
        <v>20</v>
      </c>
      <c r="H443" s="10" t="s">
        <v>49</v>
      </c>
      <c r="I443" s="7" t="s">
        <v>21</v>
      </c>
      <c r="J443" s="2" t="s">
        <v>22</v>
      </c>
      <c r="K443" s="2" t="s">
        <v>1255</v>
      </c>
      <c r="L443" s="9" t="s">
        <v>36</v>
      </c>
      <c r="M443" s="8" t="s">
        <v>432</v>
      </c>
      <c r="N443" s="2" t="s">
        <v>41</v>
      </c>
      <c r="O443" s="9" t="s">
        <v>42</v>
      </c>
      <c r="P443" s="8" t="s">
        <v>43</v>
      </c>
      <c r="Q443" s="8" t="s">
        <v>1137</v>
      </c>
    </row>
    <row r="444" customFormat="false" ht="23.85" hidden="false" customHeight="false" outlineLevel="0" collapsed="false">
      <c r="A444" s="2" t="s">
        <v>1242</v>
      </c>
      <c r="B444" s="2" t="s">
        <v>1256</v>
      </c>
      <c r="C444" s="3" t="n">
        <v>39.93</v>
      </c>
      <c r="D444" s="3" t="n">
        <v>-82.48</v>
      </c>
      <c r="E444" s="4" t="s">
        <v>19</v>
      </c>
      <c r="F444" s="5" t="n">
        <v>891.6</v>
      </c>
      <c r="G444" s="6" t="s">
        <v>20</v>
      </c>
      <c r="H444" s="4" t="s">
        <v>19</v>
      </c>
      <c r="I444" s="7" t="s">
        <v>21</v>
      </c>
      <c r="J444" s="2" t="s">
        <v>22</v>
      </c>
      <c r="K444" s="2" t="s">
        <v>1255</v>
      </c>
      <c r="L444" s="9" t="s">
        <v>36</v>
      </c>
      <c r="M444" s="8" t="s">
        <v>432</v>
      </c>
      <c r="N444" s="2" t="s">
        <v>41</v>
      </c>
      <c r="O444" s="9" t="s">
        <v>42</v>
      </c>
      <c r="P444" s="8" t="s">
        <v>43</v>
      </c>
      <c r="Q444" s="8" t="s">
        <v>1137</v>
      </c>
    </row>
    <row r="445" customFormat="false" ht="23.85" hidden="false" customHeight="false" outlineLevel="0" collapsed="false">
      <c r="A445" s="2" t="s">
        <v>1242</v>
      </c>
      <c r="B445" s="2" t="s">
        <v>1257</v>
      </c>
      <c r="C445" s="3" t="n">
        <v>41.1</v>
      </c>
      <c r="D445" s="3" t="n">
        <v>-80.97</v>
      </c>
      <c r="E445" s="4" t="s">
        <v>19</v>
      </c>
      <c r="F445" s="5" t="n">
        <v>948</v>
      </c>
      <c r="G445" s="6" t="s">
        <v>20</v>
      </c>
      <c r="H445" s="4" t="s">
        <v>19</v>
      </c>
      <c r="I445" s="7" t="s">
        <v>21</v>
      </c>
      <c r="J445" s="2" t="s">
        <v>22</v>
      </c>
      <c r="K445" s="2" t="s">
        <v>1258</v>
      </c>
      <c r="L445" s="9" t="s">
        <v>36</v>
      </c>
      <c r="M445" s="8" t="s">
        <v>432</v>
      </c>
      <c r="N445" s="2" t="s">
        <v>41</v>
      </c>
      <c r="O445" s="9" t="s">
        <v>42</v>
      </c>
      <c r="P445" s="8" t="s">
        <v>43</v>
      </c>
      <c r="Q445" s="8" t="s">
        <v>1254</v>
      </c>
    </row>
    <row r="446" customFormat="false" ht="23.85" hidden="false" customHeight="false" outlineLevel="0" collapsed="false">
      <c r="A446" s="2" t="s">
        <v>1242</v>
      </c>
      <c r="B446" s="2" t="s">
        <v>1259</v>
      </c>
      <c r="C446" s="3" t="n">
        <v>40.2</v>
      </c>
      <c r="D446" s="3" t="n">
        <v>-82.98</v>
      </c>
      <c r="E446" s="4" t="s">
        <v>19</v>
      </c>
      <c r="F446" s="5" t="n">
        <v>888</v>
      </c>
      <c r="G446" s="6" t="s">
        <v>20</v>
      </c>
      <c r="H446" s="4" t="s">
        <v>19</v>
      </c>
      <c r="I446" s="7" t="s">
        <v>21</v>
      </c>
      <c r="J446" s="2" t="s">
        <v>22</v>
      </c>
      <c r="K446" s="2" t="s">
        <v>1260</v>
      </c>
      <c r="L446" s="6" t="s">
        <v>24</v>
      </c>
      <c r="M446" s="8" t="s">
        <v>1261</v>
      </c>
      <c r="N446" s="2" t="s">
        <v>22</v>
      </c>
      <c r="O446" s="6" t="s">
        <v>26</v>
      </c>
      <c r="P446" s="8" t="s">
        <v>27</v>
      </c>
      <c r="Q446" s="8" t="s">
        <v>1262</v>
      </c>
    </row>
    <row r="447" customFormat="false" ht="23.85" hidden="false" customHeight="false" outlineLevel="0" collapsed="false">
      <c r="A447" s="2" t="s">
        <v>1242</v>
      </c>
      <c r="B447" s="2" t="s">
        <v>1263</v>
      </c>
      <c r="C447" s="3" t="n">
        <v>40.15</v>
      </c>
      <c r="D447" s="3" t="n">
        <v>-82.87</v>
      </c>
      <c r="E447" s="4" t="s">
        <v>19</v>
      </c>
      <c r="F447" s="5" t="n">
        <v>894</v>
      </c>
      <c r="G447" s="6" t="s">
        <v>20</v>
      </c>
      <c r="H447" s="4" t="s">
        <v>19</v>
      </c>
      <c r="I447" s="7" t="s">
        <v>21</v>
      </c>
      <c r="J447" s="2" t="s">
        <v>22</v>
      </c>
      <c r="K447" s="2" t="s">
        <v>1264</v>
      </c>
      <c r="L447" s="9" t="s">
        <v>36</v>
      </c>
      <c r="M447" s="8" t="s">
        <v>432</v>
      </c>
      <c r="N447" s="2" t="s">
        <v>41</v>
      </c>
      <c r="O447" s="9" t="s">
        <v>42</v>
      </c>
      <c r="P447" s="8" t="s">
        <v>43</v>
      </c>
      <c r="Q447" s="8" t="s">
        <v>1137</v>
      </c>
    </row>
    <row r="448" customFormat="false" ht="23.85" hidden="false" customHeight="false" outlineLevel="0" collapsed="false">
      <c r="A448" s="2" t="s">
        <v>1242</v>
      </c>
      <c r="B448" s="2" t="s">
        <v>1265</v>
      </c>
      <c r="C448" s="3" t="n">
        <v>39.48</v>
      </c>
      <c r="D448" s="3" t="n">
        <v>-84.05</v>
      </c>
      <c r="E448" s="4" t="s">
        <v>19</v>
      </c>
      <c r="F448" s="5" t="n">
        <v>849</v>
      </c>
      <c r="G448" s="6" t="s">
        <v>20</v>
      </c>
      <c r="H448" s="4" t="s">
        <v>19</v>
      </c>
      <c r="I448" s="7" t="s">
        <v>21</v>
      </c>
      <c r="J448" s="2" t="s">
        <v>22</v>
      </c>
      <c r="K448" s="2" t="s">
        <v>1266</v>
      </c>
      <c r="L448" s="6" t="s">
        <v>24</v>
      </c>
      <c r="M448" s="8" t="s">
        <v>1267</v>
      </c>
      <c r="N448" s="2" t="s">
        <v>22</v>
      </c>
      <c r="O448" s="6" t="s">
        <v>26</v>
      </c>
      <c r="P448" s="8" t="s">
        <v>27</v>
      </c>
      <c r="Q448" s="8" t="s">
        <v>1268</v>
      </c>
    </row>
    <row r="449" customFormat="false" ht="23.85" hidden="false" customHeight="false" outlineLevel="0" collapsed="false">
      <c r="A449" s="2" t="s">
        <v>1242</v>
      </c>
      <c r="B449" s="2" t="s">
        <v>1269</v>
      </c>
      <c r="C449" s="3" t="n">
        <v>40.08</v>
      </c>
      <c r="D449" s="3" t="n">
        <v>-81.42</v>
      </c>
      <c r="E449" s="4" t="s">
        <v>19</v>
      </c>
      <c r="F449" s="5" t="n">
        <v>797</v>
      </c>
      <c r="G449" s="6" t="s">
        <v>20</v>
      </c>
      <c r="H449" s="10" t="s">
        <v>49</v>
      </c>
      <c r="I449" s="7" t="s">
        <v>21</v>
      </c>
      <c r="J449" s="2" t="s">
        <v>22</v>
      </c>
      <c r="K449" s="2" t="s">
        <v>1270</v>
      </c>
      <c r="L449" s="9" t="s">
        <v>36</v>
      </c>
      <c r="M449" s="8" t="s">
        <v>432</v>
      </c>
      <c r="N449" s="2" t="s">
        <v>41</v>
      </c>
      <c r="O449" s="9" t="s">
        <v>42</v>
      </c>
      <c r="P449" s="8" t="s">
        <v>43</v>
      </c>
      <c r="Q449" s="8" t="s">
        <v>1137</v>
      </c>
    </row>
    <row r="450" customFormat="false" ht="23.85" hidden="false" customHeight="false" outlineLevel="0" collapsed="false">
      <c r="A450" s="2" t="s">
        <v>1242</v>
      </c>
      <c r="B450" s="2" t="s">
        <v>1271</v>
      </c>
      <c r="C450" s="3" t="n">
        <v>39.93</v>
      </c>
      <c r="D450" s="3" t="n">
        <v>-81.42</v>
      </c>
      <c r="E450" s="10" t="s">
        <v>49</v>
      </c>
      <c r="F450" s="5" t="n">
        <v>836.8</v>
      </c>
      <c r="G450" s="6" t="s">
        <v>20</v>
      </c>
      <c r="H450" s="4" t="s">
        <v>19</v>
      </c>
      <c r="I450" s="7" t="s">
        <v>21</v>
      </c>
      <c r="J450" s="2" t="s">
        <v>22</v>
      </c>
      <c r="K450" s="2" t="s">
        <v>1272</v>
      </c>
      <c r="L450" s="6" t="s">
        <v>24</v>
      </c>
      <c r="M450" s="8" t="s">
        <v>1261</v>
      </c>
      <c r="N450" s="2" t="s">
        <v>41</v>
      </c>
      <c r="O450" s="9" t="s">
        <v>42</v>
      </c>
      <c r="P450" s="8" t="s">
        <v>43</v>
      </c>
      <c r="Q450" s="8" t="s">
        <v>1273</v>
      </c>
    </row>
    <row r="451" customFormat="false" ht="23.85" hidden="false" customHeight="false" outlineLevel="0" collapsed="false">
      <c r="A451" s="2" t="s">
        <v>1242</v>
      </c>
      <c r="B451" s="2" t="s">
        <v>1274</v>
      </c>
      <c r="C451" s="3" t="n">
        <v>40.35</v>
      </c>
      <c r="D451" s="3" t="n">
        <v>-81.23</v>
      </c>
      <c r="E451" s="10" t="s">
        <v>49</v>
      </c>
      <c r="F451" s="5" t="n">
        <v>899.3</v>
      </c>
      <c r="G451" s="6" t="s">
        <v>20</v>
      </c>
      <c r="H451" s="4" t="s">
        <v>19</v>
      </c>
      <c r="I451" s="7" t="s">
        <v>21</v>
      </c>
      <c r="J451" s="2" t="s">
        <v>22</v>
      </c>
      <c r="K451" s="2" t="s">
        <v>1272</v>
      </c>
      <c r="L451" s="6" t="s">
        <v>24</v>
      </c>
      <c r="M451" s="8" t="s">
        <v>1261</v>
      </c>
      <c r="N451" s="2" t="s">
        <v>41</v>
      </c>
      <c r="O451" s="9" t="s">
        <v>42</v>
      </c>
      <c r="P451" s="8" t="s">
        <v>43</v>
      </c>
      <c r="Q451" s="8" t="s">
        <v>1273</v>
      </c>
    </row>
    <row r="452" customFormat="false" ht="23.85" hidden="false" customHeight="false" outlineLevel="0" collapsed="false">
      <c r="A452" s="2" t="s">
        <v>1275</v>
      </c>
      <c r="B452" s="2" t="s">
        <v>1276</v>
      </c>
      <c r="C452" s="3" t="n">
        <v>35.3</v>
      </c>
      <c r="D452" s="3" t="n">
        <v>-95.58</v>
      </c>
      <c r="E452" s="4" t="s">
        <v>19</v>
      </c>
      <c r="F452" s="5" t="n">
        <v>585</v>
      </c>
      <c r="G452" s="6" t="s">
        <v>20</v>
      </c>
      <c r="H452" s="4" t="s">
        <v>19</v>
      </c>
      <c r="I452" s="7" t="s">
        <v>21</v>
      </c>
      <c r="J452" s="2" t="s">
        <v>22</v>
      </c>
      <c r="K452" s="2" t="s">
        <v>1277</v>
      </c>
      <c r="L452" s="6" t="s">
        <v>24</v>
      </c>
      <c r="M452" s="8" t="s">
        <v>1278</v>
      </c>
      <c r="N452" s="2" t="s">
        <v>22</v>
      </c>
      <c r="O452" s="6" t="s">
        <v>26</v>
      </c>
      <c r="P452" s="8" t="s">
        <v>27</v>
      </c>
      <c r="Q452" s="8" t="s">
        <v>1279</v>
      </c>
    </row>
    <row r="453" customFormat="false" ht="23.85" hidden="false" customHeight="false" outlineLevel="0" collapsed="false">
      <c r="A453" s="2" t="s">
        <v>1275</v>
      </c>
      <c r="B453" s="2" t="s">
        <v>1280</v>
      </c>
      <c r="C453" s="3" t="n">
        <v>33.9</v>
      </c>
      <c r="D453" s="3" t="n">
        <v>-96.63</v>
      </c>
      <c r="E453" s="4" t="s">
        <v>19</v>
      </c>
      <c r="F453" s="5" t="n">
        <v>617</v>
      </c>
      <c r="G453" s="6" t="s">
        <v>20</v>
      </c>
      <c r="H453" s="4" t="s">
        <v>19</v>
      </c>
      <c r="I453" s="7" t="s">
        <v>21</v>
      </c>
      <c r="J453" s="2" t="s">
        <v>22</v>
      </c>
      <c r="K453" s="2" t="s">
        <v>1277</v>
      </c>
      <c r="L453" s="6" t="s">
        <v>24</v>
      </c>
      <c r="M453" s="8" t="s">
        <v>1278</v>
      </c>
      <c r="N453" s="2" t="s">
        <v>22</v>
      </c>
      <c r="O453" s="6" t="s">
        <v>26</v>
      </c>
      <c r="P453" s="8" t="s">
        <v>27</v>
      </c>
      <c r="Q453" s="8" t="s">
        <v>1281</v>
      </c>
    </row>
    <row r="454" customFormat="false" ht="23.85" hidden="false" customHeight="false" outlineLevel="0" collapsed="false">
      <c r="A454" s="2" t="s">
        <v>1275</v>
      </c>
      <c r="B454" s="2" t="s">
        <v>1282</v>
      </c>
      <c r="C454" s="3" t="n">
        <v>36.55</v>
      </c>
      <c r="D454" s="3" t="n">
        <v>-94.85</v>
      </c>
      <c r="E454" s="4" t="s">
        <v>19</v>
      </c>
      <c r="F454" s="5" t="n">
        <v>745</v>
      </c>
      <c r="G454" s="6" t="s">
        <v>20</v>
      </c>
      <c r="H454" s="4" t="s">
        <v>19</v>
      </c>
      <c r="I454" s="7" t="s">
        <v>21</v>
      </c>
      <c r="J454" s="2" t="s">
        <v>22</v>
      </c>
      <c r="K454" s="2" t="s">
        <v>1283</v>
      </c>
      <c r="L454" s="6" t="s">
        <v>24</v>
      </c>
      <c r="M454" s="8" t="s">
        <v>1284</v>
      </c>
      <c r="N454" s="2" t="s">
        <v>22</v>
      </c>
      <c r="O454" s="6" t="s">
        <v>26</v>
      </c>
      <c r="P454" s="8" t="s">
        <v>27</v>
      </c>
      <c r="Q454" s="8" t="s">
        <v>1285</v>
      </c>
    </row>
    <row r="455" customFormat="false" ht="23.85" hidden="false" customHeight="false" outlineLevel="0" collapsed="false">
      <c r="A455" s="2" t="s">
        <v>1275</v>
      </c>
      <c r="B455" s="2" t="s">
        <v>1286</v>
      </c>
      <c r="C455" s="3" t="n">
        <v>35.6</v>
      </c>
      <c r="D455" s="3" t="n">
        <v>-94.98</v>
      </c>
      <c r="E455" s="4" t="s">
        <v>19</v>
      </c>
      <c r="F455" s="5" t="n">
        <v>632</v>
      </c>
      <c r="G455" s="6" t="s">
        <v>20</v>
      </c>
      <c r="H455" s="4" t="s">
        <v>19</v>
      </c>
      <c r="I455" s="7" t="s">
        <v>21</v>
      </c>
      <c r="J455" s="2" t="s">
        <v>22</v>
      </c>
      <c r="K455" s="2" t="s">
        <v>1277</v>
      </c>
      <c r="L455" s="6" t="s">
        <v>24</v>
      </c>
      <c r="M455" s="8" t="s">
        <v>1278</v>
      </c>
      <c r="N455" s="2" t="s">
        <v>22</v>
      </c>
      <c r="O455" s="6" t="s">
        <v>26</v>
      </c>
      <c r="P455" s="8" t="s">
        <v>27</v>
      </c>
      <c r="Q455" s="8" t="s">
        <v>73</v>
      </c>
    </row>
    <row r="456" customFormat="false" ht="23.85" hidden="false" customHeight="false" outlineLevel="0" collapsed="false">
      <c r="A456" s="2" t="s">
        <v>1275</v>
      </c>
      <c r="B456" s="2" t="s">
        <v>1287</v>
      </c>
      <c r="C456" s="3" t="n">
        <v>34.15</v>
      </c>
      <c r="D456" s="3" t="n">
        <v>-94.68</v>
      </c>
      <c r="E456" s="4" t="s">
        <v>19</v>
      </c>
      <c r="F456" s="5" t="n">
        <v>599.5</v>
      </c>
      <c r="G456" s="6" t="s">
        <v>20</v>
      </c>
      <c r="H456" s="4" t="s">
        <v>19</v>
      </c>
      <c r="I456" s="7" t="s">
        <v>21</v>
      </c>
      <c r="J456" s="2" t="s">
        <v>22</v>
      </c>
      <c r="K456" s="2" t="s">
        <v>1277</v>
      </c>
      <c r="L456" s="6" t="s">
        <v>24</v>
      </c>
      <c r="M456" s="8" t="s">
        <v>1278</v>
      </c>
      <c r="N456" s="2" t="s">
        <v>22</v>
      </c>
      <c r="O456" s="6" t="s">
        <v>26</v>
      </c>
      <c r="P456" s="8" t="s">
        <v>27</v>
      </c>
      <c r="Q456" s="8" t="s">
        <v>73</v>
      </c>
    </row>
    <row r="457" customFormat="false" ht="23.85" hidden="false" customHeight="false" outlineLevel="0" collapsed="false">
      <c r="A457" s="2" t="s">
        <v>1275</v>
      </c>
      <c r="B457" s="2" t="s">
        <v>1288</v>
      </c>
      <c r="C457" s="3" t="n">
        <v>35.87</v>
      </c>
      <c r="D457" s="3" t="n">
        <v>-95.25</v>
      </c>
      <c r="E457" s="4" t="s">
        <v>19</v>
      </c>
      <c r="F457" s="5" t="n">
        <v>554</v>
      </c>
      <c r="G457" s="6" t="s">
        <v>20</v>
      </c>
      <c r="H457" s="4" t="s">
        <v>19</v>
      </c>
      <c r="I457" s="7" t="s">
        <v>21</v>
      </c>
      <c r="J457" s="2" t="s">
        <v>22</v>
      </c>
      <c r="K457" s="2" t="s">
        <v>1277</v>
      </c>
      <c r="L457" s="6" t="s">
        <v>24</v>
      </c>
      <c r="M457" s="8" t="s">
        <v>1278</v>
      </c>
      <c r="N457" s="2" t="s">
        <v>22</v>
      </c>
      <c r="O457" s="6" t="s">
        <v>26</v>
      </c>
      <c r="P457" s="8" t="s">
        <v>27</v>
      </c>
      <c r="Q457" s="8" t="s">
        <v>73</v>
      </c>
    </row>
    <row r="458" customFormat="false" ht="23.85" hidden="false" customHeight="false" outlineLevel="0" collapsed="false">
      <c r="A458" s="2" t="s">
        <v>1275</v>
      </c>
      <c r="B458" s="2" t="s">
        <v>1289</v>
      </c>
      <c r="C458" s="3" t="n">
        <v>36.15</v>
      </c>
      <c r="D458" s="3" t="n">
        <v>-96.25</v>
      </c>
      <c r="E458" s="4" t="s">
        <v>19</v>
      </c>
      <c r="F458" s="5" t="n">
        <v>723</v>
      </c>
      <c r="G458" s="6" t="s">
        <v>20</v>
      </c>
      <c r="H458" s="4" t="s">
        <v>19</v>
      </c>
      <c r="I458" s="7" t="s">
        <v>21</v>
      </c>
      <c r="J458" s="2" t="s">
        <v>22</v>
      </c>
      <c r="K458" s="2" t="s">
        <v>1277</v>
      </c>
      <c r="L458" s="6" t="s">
        <v>24</v>
      </c>
      <c r="M458" s="8" t="s">
        <v>1278</v>
      </c>
      <c r="N458" s="2" t="s">
        <v>22</v>
      </c>
      <c r="O458" s="6" t="s">
        <v>26</v>
      </c>
      <c r="P458" s="8" t="s">
        <v>27</v>
      </c>
      <c r="Q458" s="8" t="s">
        <v>73</v>
      </c>
    </row>
    <row r="459" customFormat="false" ht="23.85" hidden="false" customHeight="false" outlineLevel="0" collapsed="false">
      <c r="A459" s="2" t="s">
        <v>1275</v>
      </c>
      <c r="B459" s="2" t="s">
        <v>1290</v>
      </c>
      <c r="C459" s="3" t="n">
        <v>34.06</v>
      </c>
      <c r="D459" s="3" t="n">
        <v>-96.98</v>
      </c>
      <c r="E459" s="4" t="s">
        <v>19</v>
      </c>
      <c r="F459" s="5" t="n">
        <v>705</v>
      </c>
      <c r="G459" s="6" t="s">
        <v>20</v>
      </c>
      <c r="H459" s="10" t="s">
        <v>49</v>
      </c>
      <c r="I459" s="7" t="s">
        <v>21</v>
      </c>
      <c r="J459" s="2" t="s">
        <v>22</v>
      </c>
      <c r="K459" s="2" t="s">
        <v>1291</v>
      </c>
      <c r="L459" s="14" t="s">
        <v>72</v>
      </c>
      <c r="M459" s="8" t="s">
        <v>1292</v>
      </c>
      <c r="N459" s="2" t="s">
        <v>41</v>
      </c>
      <c r="O459" s="9" t="s">
        <v>42</v>
      </c>
      <c r="P459" s="8" t="s">
        <v>43</v>
      </c>
      <c r="Q459" s="8" t="s">
        <v>1293</v>
      </c>
    </row>
    <row r="460" customFormat="false" ht="23.85" hidden="false" customHeight="false" outlineLevel="0" collapsed="false">
      <c r="A460" s="2" t="s">
        <v>1275</v>
      </c>
      <c r="B460" s="2" t="s">
        <v>1294</v>
      </c>
      <c r="C460" s="3" t="n">
        <v>36.75</v>
      </c>
      <c r="D460" s="3" t="n">
        <v>-96.92</v>
      </c>
      <c r="E460" s="4" t="s">
        <v>19</v>
      </c>
      <c r="F460" s="5" t="n">
        <v>1010</v>
      </c>
      <c r="G460" s="6" t="s">
        <v>20</v>
      </c>
      <c r="H460" s="4" t="s">
        <v>19</v>
      </c>
      <c r="I460" s="7" t="s">
        <v>21</v>
      </c>
      <c r="J460" s="2" t="s">
        <v>22</v>
      </c>
      <c r="K460" s="2" t="s">
        <v>1277</v>
      </c>
      <c r="L460" s="6" t="s">
        <v>24</v>
      </c>
      <c r="M460" s="8" t="s">
        <v>1278</v>
      </c>
      <c r="N460" s="2" t="s">
        <v>22</v>
      </c>
      <c r="O460" s="6" t="s">
        <v>26</v>
      </c>
      <c r="P460" s="8" t="s">
        <v>27</v>
      </c>
      <c r="Q460" s="8" t="s">
        <v>73</v>
      </c>
    </row>
    <row r="461" customFormat="false" ht="23.85" hidden="false" customHeight="false" outlineLevel="0" collapsed="false">
      <c r="A461" s="2" t="s">
        <v>1275</v>
      </c>
      <c r="B461" s="2" t="s">
        <v>1295</v>
      </c>
      <c r="C461" s="3" t="n">
        <v>36.55</v>
      </c>
      <c r="D461" s="3" t="n">
        <v>-95.67</v>
      </c>
      <c r="E461" s="4" t="s">
        <v>19</v>
      </c>
      <c r="F461" s="5" t="n">
        <v>638</v>
      </c>
      <c r="G461" s="6" t="s">
        <v>20</v>
      </c>
      <c r="H461" s="4" t="s">
        <v>19</v>
      </c>
      <c r="I461" s="7" t="s">
        <v>21</v>
      </c>
      <c r="J461" s="2" t="s">
        <v>22</v>
      </c>
      <c r="K461" s="2" t="s">
        <v>1277</v>
      </c>
      <c r="L461" s="6" t="s">
        <v>24</v>
      </c>
      <c r="M461" s="8" t="s">
        <v>1278</v>
      </c>
      <c r="N461" s="2" t="s">
        <v>22</v>
      </c>
      <c r="O461" s="6" t="s">
        <v>26</v>
      </c>
      <c r="P461" s="8" t="s">
        <v>27</v>
      </c>
      <c r="Q461" s="8" t="s">
        <v>73</v>
      </c>
    </row>
    <row r="462" customFormat="false" ht="23.85" hidden="false" customHeight="false" outlineLevel="0" collapsed="false">
      <c r="A462" s="2" t="s">
        <v>1275</v>
      </c>
      <c r="B462" s="2" t="s">
        <v>1296</v>
      </c>
      <c r="C462" s="3" t="n">
        <v>36.22</v>
      </c>
      <c r="D462" s="3" t="n">
        <v>-95.12</v>
      </c>
      <c r="E462" s="10" t="s">
        <v>49</v>
      </c>
      <c r="F462" s="5" t="n">
        <v>619</v>
      </c>
      <c r="G462" s="6" t="s">
        <v>20</v>
      </c>
      <c r="H462" s="4" t="s">
        <v>19</v>
      </c>
      <c r="I462" s="7" t="s">
        <v>21</v>
      </c>
      <c r="J462" s="2" t="s">
        <v>22</v>
      </c>
      <c r="K462" s="2" t="s">
        <v>1283</v>
      </c>
      <c r="L462" s="6" t="s">
        <v>24</v>
      </c>
      <c r="M462" s="8" t="s">
        <v>1297</v>
      </c>
      <c r="N462" s="2" t="s">
        <v>22</v>
      </c>
      <c r="O462" s="6" t="s">
        <v>26</v>
      </c>
      <c r="P462" s="8" t="s">
        <v>27</v>
      </c>
      <c r="Q462" s="8" t="s">
        <v>1298</v>
      </c>
    </row>
    <row r="463" customFormat="false" ht="23.85" hidden="false" customHeight="false" outlineLevel="0" collapsed="false">
      <c r="A463" s="2" t="s">
        <v>1275</v>
      </c>
      <c r="B463" s="2" t="s">
        <v>873</v>
      </c>
      <c r="C463" s="3" t="n">
        <v>34.63</v>
      </c>
      <c r="D463" s="3" t="n">
        <v>-95.35</v>
      </c>
      <c r="E463" s="10" t="s">
        <v>49</v>
      </c>
      <c r="F463" s="5" t="n">
        <v>599</v>
      </c>
      <c r="G463" s="6" t="s">
        <v>20</v>
      </c>
      <c r="H463" s="4" t="s">
        <v>19</v>
      </c>
      <c r="I463" s="7" t="s">
        <v>21</v>
      </c>
      <c r="J463" s="2" t="s">
        <v>22</v>
      </c>
      <c r="K463" s="2" t="s">
        <v>1299</v>
      </c>
      <c r="L463" s="6" t="s">
        <v>24</v>
      </c>
      <c r="M463" s="8" t="s">
        <v>1278</v>
      </c>
      <c r="N463" s="2" t="s">
        <v>22</v>
      </c>
      <c r="O463" s="6" t="s">
        <v>26</v>
      </c>
      <c r="P463" s="8" t="s">
        <v>27</v>
      </c>
      <c r="Q463" s="8" t="s">
        <v>1300</v>
      </c>
    </row>
    <row r="464" customFormat="false" ht="23.85" hidden="false" customHeight="false" outlineLevel="0" collapsed="false">
      <c r="A464" s="2" t="s">
        <v>1275</v>
      </c>
      <c r="B464" s="2" t="s">
        <v>1301</v>
      </c>
      <c r="C464" s="3" t="n">
        <v>36.37</v>
      </c>
      <c r="D464" s="3" t="n">
        <v>-96.13</v>
      </c>
      <c r="E464" s="4" t="s">
        <v>19</v>
      </c>
      <c r="F464" s="5" t="n">
        <v>714</v>
      </c>
      <c r="G464" s="6" t="s">
        <v>20</v>
      </c>
      <c r="H464" s="4" t="s">
        <v>19</v>
      </c>
      <c r="I464" s="7" t="s">
        <v>21</v>
      </c>
      <c r="J464" s="2" t="s">
        <v>22</v>
      </c>
      <c r="K464" s="2" t="s">
        <v>1277</v>
      </c>
      <c r="L464" s="6" t="s">
        <v>24</v>
      </c>
      <c r="M464" s="8" t="s">
        <v>1278</v>
      </c>
      <c r="N464" s="2" t="s">
        <v>22</v>
      </c>
      <c r="O464" s="6" t="s">
        <v>26</v>
      </c>
      <c r="P464" s="8" t="s">
        <v>27</v>
      </c>
      <c r="Q464" s="8" t="s">
        <v>73</v>
      </c>
    </row>
    <row r="465" customFormat="false" ht="23.85" hidden="false" customHeight="false" outlineLevel="0" collapsed="false">
      <c r="A465" s="2" t="s">
        <v>1275</v>
      </c>
      <c r="B465" s="2" t="s">
        <v>1302</v>
      </c>
      <c r="C465" s="3" t="n">
        <v>36.09</v>
      </c>
      <c r="D465" s="3" t="n">
        <v>-98.59</v>
      </c>
      <c r="E465" s="4" t="s">
        <v>19</v>
      </c>
      <c r="F465" s="5" t="n">
        <v>1615.4</v>
      </c>
      <c r="G465" s="6" t="s">
        <v>20</v>
      </c>
      <c r="H465" s="4" t="s">
        <v>19</v>
      </c>
      <c r="I465" s="7" t="s">
        <v>21</v>
      </c>
      <c r="J465" s="2" t="s">
        <v>22</v>
      </c>
      <c r="K465" s="2" t="s">
        <v>1277</v>
      </c>
      <c r="L465" s="6" t="s">
        <v>24</v>
      </c>
      <c r="M465" s="8" t="s">
        <v>1278</v>
      </c>
      <c r="N465" s="2" t="s">
        <v>22</v>
      </c>
      <c r="O465" s="6" t="s">
        <v>26</v>
      </c>
      <c r="P465" s="8" t="s">
        <v>27</v>
      </c>
      <c r="Q465" s="8" t="s">
        <v>73</v>
      </c>
    </row>
    <row r="466" customFormat="false" ht="23.85" hidden="false" customHeight="false" outlineLevel="0" collapsed="false">
      <c r="A466" s="2" t="s">
        <v>1303</v>
      </c>
      <c r="B466" s="2" t="s">
        <v>1304</v>
      </c>
      <c r="C466" s="3" t="n">
        <v>42.94</v>
      </c>
      <c r="D466" s="3" t="n">
        <v>-122.1</v>
      </c>
      <c r="E466" s="4" t="s">
        <v>19</v>
      </c>
      <c r="F466" s="5" t="n">
        <v>6178</v>
      </c>
      <c r="G466" s="11" t="s">
        <v>67</v>
      </c>
      <c r="H466" s="4" t="s">
        <v>19</v>
      </c>
      <c r="I466" s="13" t="s">
        <v>69</v>
      </c>
      <c r="J466" s="2" t="s">
        <v>70</v>
      </c>
      <c r="K466" s="2" t="s">
        <v>1305</v>
      </c>
      <c r="L466" s="14" t="s">
        <v>72</v>
      </c>
      <c r="M466" s="8" t="s">
        <v>1306</v>
      </c>
      <c r="N466" s="2" t="s">
        <v>70</v>
      </c>
      <c r="O466" s="9" t="s">
        <v>42</v>
      </c>
      <c r="P466" s="8" t="s">
        <v>43</v>
      </c>
      <c r="Q466" s="8" t="s">
        <v>1307</v>
      </c>
    </row>
    <row r="467" customFormat="false" ht="23.85" hidden="false" customHeight="false" outlineLevel="0" collapsed="false">
      <c r="A467" s="2" t="s">
        <v>1303</v>
      </c>
      <c r="B467" s="2" t="s">
        <v>1308</v>
      </c>
      <c r="C467" s="3" t="n">
        <v>42.4</v>
      </c>
      <c r="D467" s="3" t="n">
        <v>-121.9</v>
      </c>
      <c r="E467" s="4" t="s">
        <v>19</v>
      </c>
      <c r="F467" s="5" t="n">
        <v>4143</v>
      </c>
      <c r="G467" s="11" t="s">
        <v>67</v>
      </c>
      <c r="H467" s="10" t="s">
        <v>49</v>
      </c>
      <c r="I467" s="13" t="s">
        <v>69</v>
      </c>
      <c r="J467" s="2" t="s">
        <v>70</v>
      </c>
      <c r="K467" s="2" t="s">
        <v>1309</v>
      </c>
      <c r="L467" s="6" t="s">
        <v>24</v>
      </c>
      <c r="M467" s="8" t="s">
        <v>1310</v>
      </c>
      <c r="N467" s="2" t="s">
        <v>22</v>
      </c>
      <c r="O467" s="6" t="s">
        <v>26</v>
      </c>
      <c r="P467" s="8" t="s">
        <v>27</v>
      </c>
      <c r="Q467" s="8" t="s">
        <v>1311</v>
      </c>
    </row>
    <row r="468" customFormat="false" ht="23.85" hidden="false" customHeight="false" outlineLevel="0" collapsed="false">
      <c r="A468" s="2" t="s">
        <v>1303</v>
      </c>
      <c r="B468" s="2" t="s">
        <v>1312</v>
      </c>
      <c r="C468" s="3" t="n">
        <v>44.55</v>
      </c>
      <c r="D468" s="3" t="n">
        <v>-121.28</v>
      </c>
      <c r="E468" s="4" t="s">
        <v>19</v>
      </c>
      <c r="F468" s="5" t="n">
        <v>1945</v>
      </c>
      <c r="G468" s="6" t="s">
        <v>20</v>
      </c>
      <c r="H468" s="4" t="s">
        <v>19</v>
      </c>
      <c r="I468" s="7" t="s">
        <v>21</v>
      </c>
      <c r="J468" s="2" t="s">
        <v>22</v>
      </c>
      <c r="K468" s="2" t="s">
        <v>1313</v>
      </c>
      <c r="L468" s="9" t="s">
        <v>36</v>
      </c>
      <c r="M468" s="8" t="s">
        <v>1314</v>
      </c>
      <c r="N468" s="2" t="s">
        <v>22</v>
      </c>
      <c r="O468" s="6" t="s">
        <v>26</v>
      </c>
      <c r="P468" s="8" t="s">
        <v>27</v>
      </c>
      <c r="Q468" s="8" t="s">
        <v>1315</v>
      </c>
    </row>
    <row r="469" customFormat="false" ht="23.85" hidden="false" customHeight="false" outlineLevel="0" collapsed="false">
      <c r="A469" s="2" t="s">
        <v>1303</v>
      </c>
      <c r="B469" s="2" t="s">
        <v>1316</v>
      </c>
      <c r="C469" s="3" t="n">
        <v>44.72</v>
      </c>
      <c r="D469" s="3" t="n">
        <v>-122.2</v>
      </c>
      <c r="E469" s="4" t="s">
        <v>19</v>
      </c>
      <c r="F469" s="5" t="n">
        <v>1563.5</v>
      </c>
      <c r="G469" s="6" t="s">
        <v>20</v>
      </c>
      <c r="H469" s="4" t="s">
        <v>19</v>
      </c>
      <c r="I469" s="7" t="s">
        <v>21</v>
      </c>
      <c r="J469" s="2" t="s">
        <v>22</v>
      </c>
      <c r="K469" s="2" t="s">
        <v>1317</v>
      </c>
      <c r="L469" s="6" t="s">
        <v>24</v>
      </c>
      <c r="M469" s="8" t="s">
        <v>1318</v>
      </c>
      <c r="N469" s="2" t="s">
        <v>22</v>
      </c>
      <c r="O469" s="6" t="s">
        <v>26</v>
      </c>
      <c r="P469" s="8" t="s">
        <v>27</v>
      </c>
      <c r="Q469" s="8" t="s">
        <v>73</v>
      </c>
    </row>
    <row r="470" customFormat="false" ht="23.85" hidden="false" customHeight="false" outlineLevel="0" collapsed="false">
      <c r="A470" s="2" t="s">
        <v>1303</v>
      </c>
      <c r="B470" s="2" t="s">
        <v>1319</v>
      </c>
      <c r="C470" s="3" t="n">
        <v>45.3</v>
      </c>
      <c r="D470" s="3" t="n">
        <v>-117.21</v>
      </c>
      <c r="E470" s="4" t="s">
        <v>19</v>
      </c>
      <c r="F470" s="5" t="n">
        <v>4372</v>
      </c>
      <c r="G470" s="11" t="s">
        <v>67</v>
      </c>
      <c r="H470" s="10" t="s">
        <v>49</v>
      </c>
      <c r="I470" s="13" t="s">
        <v>69</v>
      </c>
      <c r="J470" s="2" t="s">
        <v>70</v>
      </c>
      <c r="K470" s="2" t="s">
        <v>1320</v>
      </c>
      <c r="L470" s="9" t="s">
        <v>36</v>
      </c>
      <c r="M470" s="8" t="s">
        <v>176</v>
      </c>
      <c r="N470" s="2" t="s">
        <v>41</v>
      </c>
      <c r="O470" s="9" t="s">
        <v>42</v>
      </c>
      <c r="P470" s="8" t="s">
        <v>43</v>
      </c>
      <c r="Q470" s="8" t="s">
        <v>1321</v>
      </c>
    </row>
    <row r="471" customFormat="false" ht="23.85" hidden="false" customHeight="false" outlineLevel="0" collapsed="false">
      <c r="A471" s="2" t="s">
        <v>1303</v>
      </c>
      <c r="B471" s="2" t="s">
        <v>1322</v>
      </c>
      <c r="C471" s="3" t="n">
        <v>43.72</v>
      </c>
      <c r="D471" s="3" t="n">
        <v>-122.03</v>
      </c>
      <c r="E471" s="4" t="s">
        <v>19</v>
      </c>
      <c r="F471" s="5" t="n">
        <v>5414</v>
      </c>
      <c r="G471" s="11" t="s">
        <v>67</v>
      </c>
      <c r="H471" s="4" t="s">
        <v>19</v>
      </c>
      <c r="I471" s="13" t="s">
        <v>69</v>
      </c>
      <c r="J471" s="2" t="s">
        <v>70</v>
      </c>
      <c r="K471" s="2" t="s">
        <v>1323</v>
      </c>
      <c r="L471" s="14" t="s">
        <v>72</v>
      </c>
      <c r="M471" s="8" t="s">
        <v>1306</v>
      </c>
      <c r="N471" s="2" t="s">
        <v>70</v>
      </c>
      <c r="O471" s="9" t="s">
        <v>42</v>
      </c>
      <c r="P471" s="8" t="s">
        <v>43</v>
      </c>
      <c r="Q471" s="8" t="s">
        <v>284</v>
      </c>
    </row>
    <row r="472" customFormat="false" ht="23.85" hidden="false" customHeight="false" outlineLevel="0" collapsed="false">
      <c r="A472" s="2" t="s">
        <v>1303</v>
      </c>
      <c r="B472" s="2" t="s">
        <v>1324</v>
      </c>
      <c r="C472" s="3" t="n">
        <v>43.18</v>
      </c>
      <c r="D472" s="3" t="n">
        <v>-122.14</v>
      </c>
      <c r="E472" s="4" t="s">
        <v>19</v>
      </c>
      <c r="F472" s="5" t="n">
        <v>5183</v>
      </c>
      <c r="G472" s="11" t="s">
        <v>67</v>
      </c>
      <c r="H472" s="4" t="s">
        <v>19</v>
      </c>
      <c r="I472" s="13" t="s">
        <v>69</v>
      </c>
      <c r="J472" s="2" t="s">
        <v>70</v>
      </c>
      <c r="K472" s="2" t="s">
        <v>1323</v>
      </c>
      <c r="L472" s="14" t="s">
        <v>72</v>
      </c>
      <c r="M472" s="8" t="s">
        <v>1325</v>
      </c>
      <c r="N472" s="2" t="s">
        <v>41</v>
      </c>
      <c r="O472" s="9" t="s">
        <v>42</v>
      </c>
      <c r="P472" s="8" t="s">
        <v>43</v>
      </c>
      <c r="Q472" s="8" t="s">
        <v>284</v>
      </c>
    </row>
    <row r="473" customFormat="false" ht="23.85" hidden="false" customHeight="false" outlineLevel="0" collapsed="false">
      <c r="A473" s="2" t="s">
        <v>1303</v>
      </c>
      <c r="B473" s="2" t="s">
        <v>1326</v>
      </c>
      <c r="C473" s="3" t="n">
        <v>43.57</v>
      </c>
      <c r="D473" s="3" t="n">
        <v>-122.03</v>
      </c>
      <c r="E473" s="4" t="s">
        <v>19</v>
      </c>
      <c r="F473" s="5" t="n">
        <v>4788</v>
      </c>
      <c r="G473" s="11" t="s">
        <v>67</v>
      </c>
      <c r="H473" s="10" t="s">
        <v>49</v>
      </c>
      <c r="I473" s="13" t="s">
        <v>69</v>
      </c>
      <c r="J473" s="2" t="s">
        <v>70</v>
      </c>
      <c r="K473" s="2" t="s">
        <v>649</v>
      </c>
      <c r="L473" s="14" t="s">
        <v>72</v>
      </c>
      <c r="M473" s="8" t="s">
        <v>1325</v>
      </c>
      <c r="N473" s="2" t="s">
        <v>41</v>
      </c>
      <c r="O473" s="9" t="s">
        <v>42</v>
      </c>
      <c r="P473" s="8" t="s">
        <v>43</v>
      </c>
      <c r="Q473" s="8" t="s">
        <v>284</v>
      </c>
    </row>
    <row r="474" customFormat="false" ht="23.85" hidden="false" customHeight="false" outlineLevel="0" collapsed="false">
      <c r="A474" s="2" t="s">
        <v>1303</v>
      </c>
      <c r="B474" s="2" t="s">
        <v>1327</v>
      </c>
      <c r="C474" s="3" t="n">
        <v>43.32</v>
      </c>
      <c r="D474" s="3" t="n">
        <v>-118.75</v>
      </c>
      <c r="E474" s="10" t="s">
        <v>49</v>
      </c>
      <c r="F474" s="5" t="n">
        <v>4093</v>
      </c>
      <c r="G474" s="11" t="s">
        <v>67</v>
      </c>
      <c r="H474" s="12" t="s">
        <v>68</v>
      </c>
      <c r="I474" s="13" t="s">
        <v>69</v>
      </c>
      <c r="J474" s="2" t="s">
        <v>70</v>
      </c>
      <c r="K474" s="2" t="s">
        <v>1328</v>
      </c>
      <c r="L474" s="9" t="s">
        <v>36</v>
      </c>
      <c r="M474" s="8" t="s">
        <v>1329</v>
      </c>
      <c r="N474" s="2" t="s">
        <v>22</v>
      </c>
      <c r="O474" s="6" t="s">
        <v>26</v>
      </c>
      <c r="P474" s="8" t="s">
        <v>27</v>
      </c>
      <c r="Q474" s="8" t="s">
        <v>1330</v>
      </c>
    </row>
    <row r="475" customFormat="false" ht="23.85" hidden="false" customHeight="false" outlineLevel="0" collapsed="false">
      <c r="A475" s="2" t="s">
        <v>1303</v>
      </c>
      <c r="B475" s="2" t="s">
        <v>1331</v>
      </c>
      <c r="C475" s="3" t="n">
        <v>44.12</v>
      </c>
      <c r="D475" s="3" t="n">
        <v>-123.3</v>
      </c>
      <c r="E475" s="4" t="s">
        <v>19</v>
      </c>
      <c r="F475" s="5" t="n">
        <v>373.5</v>
      </c>
      <c r="G475" s="6" t="s">
        <v>20</v>
      </c>
      <c r="H475" s="4" t="s">
        <v>19</v>
      </c>
      <c r="I475" s="7" t="s">
        <v>21</v>
      </c>
      <c r="J475" s="2" t="s">
        <v>22</v>
      </c>
      <c r="K475" s="2" t="s">
        <v>1317</v>
      </c>
      <c r="L475" s="6" t="s">
        <v>24</v>
      </c>
      <c r="M475" s="8" t="s">
        <v>1318</v>
      </c>
      <c r="N475" s="2" t="s">
        <v>22</v>
      </c>
      <c r="O475" s="6" t="s">
        <v>26</v>
      </c>
      <c r="P475" s="8" t="s">
        <v>27</v>
      </c>
      <c r="Q475" s="8" t="s">
        <v>73</v>
      </c>
    </row>
    <row r="476" customFormat="false" ht="23.85" hidden="false" customHeight="false" outlineLevel="0" collapsed="false">
      <c r="A476" s="2" t="s">
        <v>1303</v>
      </c>
      <c r="B476" s="2" t="s">
        <v>360</v>
      </c>
      <c r="C476" s="3" t="n">
        <v>43.48</v>
      </c>
      <c r="D476" s="3" t="n">
        <v>-121.98</v>
      </c>
      <c r="E476" s="4" t="s">
        <v>19</v>
      </c>
      <c r="F476" s="5" t="n">
        <v>4839</v>
      </c>
      <c r="G476" s="6" t="s">
        <v>20</v>
      </c>
      <c r="H476" s="10" t="s">
        <v>49</v>
      </c>
      <c r="I476" s="13" t="s">
        <v>69</v>
      </c>
      <c r="J476" s="2" t="s">
        <v>70</v>
      </c>
      <c r="K476" s="2" t="s">
        <v>1332</v>
      </c>
      <c r="L476" s="9" t="s">
        <v>36</v>
      </c>
      <c r="M476" s="8" t="s">
        <v>176</v>
      </c>
      <c r="N476" s="2" t="s">
        <v>41</v>
      </c>
      <c r="O476" s="9" t="s">
        <v>42</v>
      </c>
      <c r="P476" s="8" t="s">
        <v>43</v>
      </c>
      <c r="Q476" s="8" t="s">
        <v>1311</v>
      </c>
    </row>
    <row r="477" customFormat="false" ht="23.85" hidden="false" customHeight="false" outlineLevel="0" collapsed="false">
      <c r="A477" s="2" t="s">
        <v>1303</v>
      </c>
      <c r="B477" s="2" t="s">
        <v>1333</v>
      </c>
      <c r="C477" s="3" t="n">
        <v>43.65</v>
      </c>
      <c r="D477" s="3" t="n">
        <v>-117.25</v>
      </c>
      <c r="E477" s="10" t="s">
        <v>49</v>
      </c>
      <c r="F477" s="5" t="n">
        <v>2670</v>
      </c>
      <c r="G477" s="6" t="s">
        <v>20</v>
      </c>
      <c r="H477" s="4" t="s">
        <v>19</v>
      </c>
      <c r="I477" s="7" t="s">
        <v>21</v>
      </c>
      <c r="J477" s="2" t="s">
        <v>22</v>
      </c>
      <c r="K477" s="2" t="s">
        <v>589</v>
      </c>
      <c r="L477" s="6" t="s">
        <v>24</v>
      </c>
      <c r="M477" s="8" t="s">
        <v>1334</v>
      </c>
      <c r="N477" s="2" t="s">
        <v>22</v>
      </c>
      <c r="O477" s="6" t="s">
        <v>26</v>
      </c>
      <c r="P477" s="8" t="s">
        <v>27</v>
      </c>
      <c r="Q477" s="8" t="s">
        <v>73</v>
      </c>
    </row>
    <row r="478" customFormat="false" ht="23.85" hidden="false" customHeight="false" outlineLevel="0" collapsed="false">
      <c r="A478" s="2" t="s">
        <v>1303</v>
      </c>
      <c r="B478" s="2" t="s">
        <v>1335</v>
      </c>
      <c r="C478" s="3" t="n">
        <v>45.12</v>
      </c>
      <c r="D478" s="3" t="n">
        <v>-121.79</v>
      </c>
      <c r="E478" s="4" t="s">
        <v>19</v>
      </c>
      <c r="F478" s="5" t="n">
        <v>3217</v>
      </c>
      <c r="G478" s="6" t="s">
        <v>20</v>
      </c>
      <c r="H478" s="10" t="s">
        <v>49</v>
      </c>
      <c r="I478" s="7" t="s">
        <v>21</v>
      </c>
      <c r="J478" s="2" t="s">
        <v>22</v>
      </c>
      <c r="K478" s="2" t="s">
        <v>1313</v>
      </c>
      <c r="L478" s="9" t="s">
        <v>36</v>
      </c>
      <c r="M478" s="8" t="s">
        <v>1336</v>
      </c>
      <c r="N478" s="2" t="s">
        <v>41</v>
      </c>
      <c r="O478" s="9" t="s">
        <v>42</v>
      </c>
      <c r="P478" s="8" t="s">
        <v>43</v>
      </c>
      <c r="Q478" s="8" t="s">
        <v>1337</v>
      </c>
    </row>
    <row r="479" customFormat="false" ht="23.85" hidden="false" customHeight="false" outlineLevel="0" collapsed="false">
      <c r="A479" s="2" t="s">
        <v>1303</v>
      </c>
      <c r="B479" s="2" t="s">
        <v>1338</v>
      </c>
      <c r="C479" s="3" t="n">
        <v>44.42</v>
      </c>
      <c r="D479" s="3" t="n">
        <v>-121.74</v>
      </c>
      <c r="E479" s="4" t="s">
        <v>19</v>
      </c>
      <c r="F479" s="5" t="n">
        <v>3450</v>
      </c>
      <c r="G479" s="11" t="s">
        <v>67</v>
      </c>
      <c r="H479" s="10" t="s">
        <v>49</v>
      </c>
      <c r="I479" s="13" t="s">
        <v>69</v>
      </c>
      <c r="J479" s="2" t="s">
        <v>70</v>
      </c>
      <c r="K479" s="2" t="s">
        <v>1323</v>
      </c>
      <c r="L479" s="14" t="s">
        <v>72</v>
      </c>
      <c r="M479" s="8" t="s">
        <v>73</v>
      </c>
      <c r="N479" s="2" t="s">
        <v>41</v>
      </c>
      <c r="O479" s="9" t="s">
        <v>42</v>
      </c>
      <c r="P479" s="8" t="s">
        <v>43</v>
      </c>
      <c r="Q479" s="8" t="s">
        <v>284</v>
      </c>
    </row>
    <row r="480" customFormat="false" ht="23.85" hidden="false" customHeight="false" outlineLevel="0" collapsed="false">
      <c r="A480" s="2" t="s">
        <v>1339</v>
      </c>
      <c r="B480" s="2" t="s">
        <v>817</v>
      </c>
      <c r="C480" s="3" t="n">
        <v>42.15</v>
      </c>
      <c r="D480" s="3" t="n">
        <v>-80.1</v>
      </c>
      <c r="E480" s="4" t="s">
        <v>19</v>
      </c>
      <c r="F480" s="5" t="n">
        <v>571</v>
      </c>
      <c r="G480" s="11" t="s">
        <v>67</v>
      </c>
      <c r="H480" s="4" t="s">
        <v>19</v>
      </c>
      <c r="I480" s="13" t="s">
        <v>69</v>
      </c>
      <c r="J480" s="2" t="s">
        <v>70</v>
      </c>
      <c r="K480" s="2" t="s">
        <v>1340</v>
      </c>
      <c r="L480" s="6" t="s">
        <v>24</v>
      </c>
      <c r="M480" s="8" t="s">
        <v>1341</v>
      </c>
      <c r="N480" s="2" t="s">
        <v>22</v>
      </c>
      <c r="O480" s="15" t="s">
        <v>104</v>
      </c>
      <c r="P480" s="8" t="s">
        <v>474</v>
      </c>
      <c r="Q480" s="8" t="s">
        <v>475</v>
      </c>
    </row>
    <row r="481" customFormat="false" ht="23.85" hidden="false" customHeight="false" outlineLevel="0" collapsed="false">
      <c r="A481" s="2" t="s">
        <v>1339</v>
      </c>
      <c r="B481" s="2" t="s">
        <v>1342</v>
      </c>
      <c r="C481" s="3" t="n">
        <v>40.4</v>
      </c>
      <c r="D481" s="3" t="n">
        <v>-78.05</v>
      </c>
      <c r="E481" s="4" t="s">
        <v>19</v>
      </c>
      <c r="F481" s="5" t="n">
        <v>786</v>
      </c>
      <c r="G481" s="6" t="s">
        <v>20</v>
      </c>
      <c r="H481" s="4" t="s">
        <v>19</v>
      </c>
      <c r="I481" s="7" t="s">
        <v>21</v>
      </c>
      <c r="J481" s="2" t="s">
        <v>22</v>
      </c>
      <c r="K481" s="2" t="s">
        <v>1343</v>
      </c>
      <c r="L481" s="6" t="s">
        <v>24</v>
      </c>
      <c r="M481" s="8" t="s">
        <v>1344</v>
      </c>
      <c r="N481" s="2" t="s">
        <v>22</v>
      </c>
      <c r="O481" s="6" t="s">
        <v>26</v>
      </c>
      <c r="P481" s="8" t="s">
        <v>27</v>
      </c>
      <c r="Q481" s="8" t="s">
        <v>73</v>
      </c>
    </row>
    <row r="482" customFormat="false" ht="23.85" hidden="false" customHeight="false" outlineLevel="0" collapsed="false">
      <c r="A482" s="2" t="s">
        <v>1339</v>
      </c>
      <c r="B482" s="2" t="s">
        <v>1250</v>
      </c>
      <c r="C482" s="3" t="n">
        <v>41.6</v>
      </c>
      <c r="D482" s="3" t="n">
        <v>-80.47</v>
      </c>
      <c r="E482" s="4" t="s">
        <v>19</v>
      </c>
      <c r="F482" s="5" t="n">
        <v>1015</v>
      </c>
      <c r="G482" s="6" t="s">
        <v>20</v>
      </c>
      <c r="H482" s="10" t="s">
        <v>49</v>
      </c>
      <c r="I482" s="7" t="s">
        <v>21</v>
      </c>
      <c r="J482" s="2" t="s">
        <v>22</v>
      </c>
      <c r="K482" s="2" t="s">
        <v>1345</v>
      </c>
      <c r="L482" s="9" t="s">
        <v>36</v>
      </c>
      <c r="M482" s="8" t="s">
        <v>1346</v>
      </c>
      <c r="N482" s="2" t="s">
        <v>22</v>
      </c>
      <c r="O482" s="6" t="s">
        <v>26</v>
      </c>
      <c r="P482" s="8" t="s">
        <v>27</v>
      </c>
      <c r="Q482" s="8" t="s">
        <v>1347</v>
      </c>
    </row>
    <row r="483" customFormat="false" ht="23.85" hidden="false" customHeight="false" outlineLevel="0" collapsed="false">
      <c r="A483" s="2" t="s">
        <v>1339</v>
      </c>
      <c r="B483" s="2" t="s">
        <v>1348</v>
      </c>
      <c r="C483" s="3" t="n">
        <v>41.42</v>
      </c>
      <c r="D483" s="3" t="n">
        <v>-75.2</v>
      </c>
      <c r="E483" s="4" t="s">
        <v>19</v>
      </c>
      <c r="F483" s="5" t="n">
        <v>1180</v>
      </c>
      <c r="G483" s="6" t="s">
        <v>20</v>
      </c>
      <c r="H483" s="4" t="s">
        <v>19</v>
      </c>
      <c r="I483" s="7" t="s">
        <v>21</v>
      </c>
      <c r="J483" s="2" t="s">
        <v>22</v>
      </c>
      <c r="K483" s="2" t="s">
        <v>1349</v>
      </c>
      <c r="L483" s="9" t="s">
        <v>36</v>
      </c>
      <c r="M483" s="8" t="s">
        <v>1350</v>
      </c>
      <c r="N483" s="2" t="s">
        <v>41</v>
      </c>
      <c r="O483" s="9" t="s">
        <v>42</v>
      </c>
      <c r="P483" s="8" t="s">
        <v>43</v>
      </c>
      <c r="Q483" s="8" t="s">
        <v>1351</v>
      </c>
    </row>
    <row r="484" customFormat="false" ht="23.85" hidden="false" customHeight="false" outlineLevel="0" collapsed="false">
      <c r="A484" s="2" t="s">
        <v>1339</v>
      </c>
      <c r="B484" s="2" t="s">
        <v>1352</v>
      </c>
      <c r="C484" s="3" t="n">
        <v>41.85</v>
      </c>
      <c r="D484" s="3" t="n">
        <v>-78.9</v>
      </c>
      <c r="E484" s="4" t="s">
        <v>19</v>
      </c>
      <c r="F484" s="5" t="n">
        <v>1328</v>
      </c>
      <c r="G484" s="6" t="s">
        <v>20</v>
      </c>
      <c r="H484" s="4" t="s">
        <v>19</v>
      </c>
      <c r="I484" s="7" t="s">
        <v>21</v>
      </c>
      <c r="J484" s="2" t="s">
        <v>22</v>
      </c>
      <c r="K484" s="2" t="s">
        <v>1247</v>
      </c>
      <c r="L484" s="6" t="s">
        <v>24</v>
      </c>
      <c r="M484" s="8" t="s">
        <v>1353</v>
      </c>
      <c r="N484" s="2" t="s">
        <v>22</v>
      </c>
      <c r="O484" s="6" t="s">
        <v>26</v>
      </c>
      <c r="P484" s="8" t="s">
        <v>27</v>
      </c>
      <c r="Q484" s="8" t="s">
        <v>73</v>
      </c>
    </row>
    <row r="485" customFormat="false" ht="23.85" hidden="false" customHeight="false" outlineLevel="0" collapsed="false">
      <c r="A485" s="2" t="s">
        <v>1339</v>
      </c>
      <c r="B485" s="2" t="s">
        <v>1354</v>
      </c>
      <c r="C485" s="3" t="n">
        <v>40.95</v>
      </c>
      <c r="D485" s="3" t="n">
        <v>-80.1</v>
      </c>
      <c r="E485" s="4" t="s">
        <v>19</v>
      </c>
      <c r="F485" s="5" t="n">
        <v>1225</v>
      </c>
      <c r="G485" s="6" t="s">
        <v>20</v>
      </c>
      <c r="H485" s="10" t="s">
        <v>49</v>
      </c>
      <c r="I485" s="7" t="s">
        <v>21</v>
      </c>
      <c r="J485" s="2" t="s">
        <v>22</v>
      </c>
      <c r="K485" s="2" t="s">
        <v>1355</v>
      </c>
      <c r="L485" s="14" t="s">
        <v>72</v>
      </c>
      <c r="M485" s="8" t="s">
        <v>1356</v>
      </c>
      <c r="N485" s="2" t="s">
        <v>41</v>
      </c>
      <c r="O485" s="9" t="s">
        <v>42</v>
      </c>
      <c r="P485" s="8" t="s">
        <v>43</v>
      </c>
      <c r="Q485" s="8" t="s">
        <v>73</v>
      </c>
    </row>
    <row r="486" customFormat="false" ht="23.85" hidden="false" customHeight="false" outlineLevel="0" collapsed="false">
      <c r="A486" s="2" t="s">
        <v>1339</v>
      </c>
      <c r="B486" s="2" t="s">
        <v>1357</v>
      </c>
      <c r="C486" s="3" t="n">
        <v>40.85</v>
      </c>
      <c r="D486" s="3" t="n">
        <v>-75.63</v>
      </c>
      <c r="E486" s="4" t="s">
        <v>19</v>
      </c>
      <c r="F486" s="5" t="n">
        <v>627.5</v>
      </c>
      <c r="G486" s="6" t="s">
        <v>20</v>
      </c>
      <c r="H486" s="4" t="s">
        <v>19</v>
      </c>
      <c r="I486" s="7" t="s">
        <v>21</v>
      </c>
      <c r="J486" s="2" t="s">
        <v>22</v>
      </c>
      <c r="K486" s="2" t="s">
        <v>1358</v>
      </c>
      <c r="L486" s="6" t="s">
        <v>24</v>
      </c>
      <c r="M486" s="8" t="s">
        <v>1344</v>
      </c>
      <c r="N486" s="2" t="s">
        <v>22</v>
      </c>
      <c r="O486" s="6" t="s">
        <v>26</v>
      </c>
      <c r="P486" s="8" t="s">
        <v>27</v>
      </c>
      <c r="Q486" s="8" t="s">
        <v>73</v>
      </c>
    </row>
    <row r="487" customFormat="false" ht="23.85" hidden="false" customHeight="false" outlineLevel="0" collapsed="false">
      <c r="A487" s="2" t="s">
        <v>1339</v>
      </c>
      <c r="B487" s="2" t="s">
        <v>1359</v>
      </c>
      <c r="C487" s="3" t="n">
        <v>40.4</v>
      </c>
      <c r="D487" s="3" t="n">
        <v>-76.03</v>
      </c>
      <c r="E487" s="4" t="s">
        <v>19</v>
      </c>
      <c r="F487" s="5" t="n">
        <v>290</v>
      </c>
      <c r="G487" s="6" t="s">
        <v>20</v>
      </c>
      <c r="H487" s="4" t="s">
        <v>19</v>
      </c>
      <c r="I487" s="7" t="s">
        <v>21</v>
      </c>
      <c r="J487" s="2" t="s">
        <v>22</v>
      </c>
      <c r="K487" s="2" t="s">
        <v>1358</v>
      </c>
      <c r="L487" s="6" t="s">
        <v>24</v>
      </c>
      <c r="M487" s="8" t="s">
        <v>1344</v>
      </c>
      <c r="N487" s="2" t="s">
        <v>22</v>
      </c>
      <c r="O487" s="6" t="s">
        <v>26</v>
      </c>
      <c r="P487" s="8" t="s">
        <v>27</v>
      </c>
      <c r="Q487" s="8" t="s">
        <v>73</v>
      </c>
    </row>
    <row r="488" customFormat="false" ht="23.85" hidden="false" customHeight="false" outlineLevel="0" collapsed="false">
      <c r="A488" s="2" t="s">
        <v>1339</v>
      </c>
      <c r="B488" s="2" t="s">
        <v>1360</v>
      </c>
      <c r="C488" s="3" t="n">
        <v>41.62</v>
      </c>
      <c r="D488" s="3" t="n">
        <v>-80.3</v>
      </c>
      <c r="E488" s="4" t="s">
        <v>19</v>
      </c>
      <c r="F488" s="5" t="n">
        <v>1077</v>
      </c>
      <c r="G488" s="11" t="s">
        <v>67</v>
      </c>
      <c r="H488" s="10" t="s">
        <v>49</v>
      </c>
      <c r="I488" s="13" t="s">
        <v>69</v>
      </c>
      <c r="J488" s="2" t="s">
        <v>70</v>
      </c>
      <c r="K488" s="2" t="s">
        <v>1361</v>
      </c>
      <c r="L488" s="14" t="s">
        <v>72</v>
      </c>
      <c r="M488" s="8" t="s">
        <v>73</v>
      </c>
      <c r="N488" s="2" t="s">
        <v>41</v>
      </c>
      <c r="O488" s="9" t="s">
        <v>42</v>
      </c>
      <c r="P488" s="8" t="s">
        <v>43</v>
      </c>
      <c r="Q488" s="8" t="s">
        <v>1362</v>
      </c>
    </row>
    <row r="489" customFormat="false" ht="23.85" hidden="false" customHeight="false" outlineLevel="0" collapsed="false">
      <c r="A489" s="2" t="s">
        <v>1339</v>
      </c>
      <c r="B489" s="2" t="s">
        <v>1363</v>
      </c>
      <c r="C489" s="3" t="n">
        <v>41.36</v>
      </c>
      <c r="D489" s="3" t="n">
        <v>-76.03</v>
      </c>
      <c r="E489" s="4" t="s">
        <v>19</v>
      </c>
      <c r="F489" s="5" t="n">
        <v>1220</v>
      </c>
      <c r="G489" s="11" t="s">
        <v>67</v>
      </c>
      <c r="H489" s="10" t="s">
        <v>49</v>
      </c>
      <c r="I489" s="13" t="s">
        <v>69</v>
      </c>
      <c r="J489" s="2" t="s">
        <v>70</v>
      </c>
      <c r="K489" s="2" t="s">
        <v>1361</v>
      </c>
      <c r="L489" s="14" t="s">
        <v>72</v>
      </c>
      <c r="M489" s="8" t="s">
        <v>73</v>
      </c>
      <c r="N489" s="2" t="s">
        <v>70</v>
      </c>
      <c r="O489" s="9" t="s">
        <v>42</v>
      </c>
      <c r="P489" s="8" t="s">
        <v>43</v>
      </c>
      <c r="Q489" s="8" t="s">
        <v>284</v>
      </c>
    </row>
    <row r="490" customFormat="false" ht="23.85" hidden="false" customHeight="false" outlineLevel="0" collapsed="false">
      <c r="A490" s="2" t="s">
        <v>1339</v>
      </c>
      <c r="B490" s="2" t="s">
        <v>1364</v>
      </c>
      <c r="C490" s="3" t="n">
        <v>40.47</v>
      </c>
      <c r="D490" s="3" t="n">
        <v>-75.24</v>
      </c>
      <c r="E490" s="4" t="s">
        <v>19</v>
      </c>
      <c r="F490" s="5" t="n">
        <v>385</v>
      </c>
      <c r="G490" s="6" t="s">
        <v>20</v>
      </c>
      <c r="H490" s="10" t="s">
        <v>49</v>
      </c>
      <c r="I490" s="7" t="s">
        <v>21</v>
      </c>
      <c r="J490" s="2" t="s">
        <v>22</v>
      </c>
      <c r="K490" s="2" t="s">
        <v>1345</v>
      </c>
      <c r="L490" s="14" t="s">
        <v>72</v>
      </c>
      <c r="M490" s="8" t="s">
        <v>1356</v>
      </c>
      <c r="N490" s="2" t="s">
        <v>41</v>
      </c>
      <c r="O490" s="9" t="s">
        <v>42</v>
      </c>
      <c r="P490" s="8" t="s">
        <v>43</v>
      </c>
      <c r="Q490" s="8" t="s">
        <v>73</v>
      </c>
    </row>
    <row r="491" customFormat="false" ht="23.85" hidden="false" customHeight="false" outlineLevel="0" collapsed="false">
      <c r="A491" s="2" t="s">
        <v>1339</v>
      </c>
      <c r="B491" s="2" t="s">
        <v>1365</v>
      </c>
      <c r="C491" s="3" t="n">
        <v>41.3</v>
      </c>
      <c r="D491" s="3" t="n">
        <v>-80.44</v>
      </c>
      <c r="E491" s="10" t="s">
        <v>49</v>
      </c>
      <c r="F491" s="5" t="n">
        <v>900</v>
      </c>
      <c r="G491" s="6" t="s">
        <v>20</v>
      </c>
      <c r="H491" s="4" t="s">
        <v>19</v>
      </c>
      <c r="I491" s="7" t="s">
        <v>21</v>
      </c>
      <c r="J491" s="2" t="s">
        <v>22</v>
      </c>
      <c r="K491" s="2" t="s">
        <v>1247</v>
      </c>
      <c r="L491" s="6" t="s">
        <v>24</v>
      </c>
      <c r="M491" s="8" t="s">
        <v>1344</v>
      </c>
      <c r="N491" s="2" t="s">
        <v>22</v>
      </c>
      <c r="O491" s="6" t="s">
        <v>26</v>
      </c>
      <c r="P491" s="8" t="s">
        <v>27</v>
      </c>
      <c r="Q491" s="8" t="s">
        <v>73</v>
      </c>
    </row>
    <row r="492" customFormat="false" ht="23.85" hidden="false" customHeight="false" outlineLevel="0" collapsed="false">
      <c r="A492" s="2" t="s">
        <v>1339</v>
      </c>
      <c r="B492" s="2" t="s">
        <v>1366</v>
      </c>
      <c r="C492" s="3" t="n">
        <v>39.75</v>
      </c>
      <c r="D492" s="3" t="n">
        <v>-76.87</v>
      </c>
      <c r="E492" s="10" t="s">
        <v>49</v>
      </c>
      <c r="F492" s="5" t="n">
        <v>588</v>
      </c>
      <c r="G492" s="6" t="s">
        <v>20</v>
      </c>
      <c r="H492" s="10" t="s">
        <v>49</v>
      </c>
      <c r="I492" s="7" t="s">
        <v>21</v>
      </c>
      <c r="J492" s="2" t="s">
        <v>22</v>
      </c>
      <c r="K492" s="2" t="s">
        <v>1367</v>
      </c>
      <c r="L492" s="14" t="s">
        <v>72</v>
      </c>
      <c r="M492" s="8" t="s">
        <v>1356</v>
      </c>
      <c r="N492" s="2" t="s">
        <v>41</v>
      </c>
      <c r="O492" s="9" t="s">
        <v>42</v>
      </c>
      <c r="P492" s="8" t="s">
        <v>43</v>
      </c>
      <c r="Q492" s="8" t="s">
        <v>1368</v>
      </c>
    </row>
    <row r="493" customFormat="false" ht="23.85" hidden="false" customHeight="false" outlineLevel="0" collapsed="false">
      <c r="A493" s="2" t="s">
        <v>1339</v>
      </c>
      <c r="B493" s="2" t="s">
        <v>1369</v>
      </c>
      <c r="C493" s="3" t="n">
        <v>40.56</v>
      </c>
      <c r="D493" s="3" t="n">
        <v>-79.02</v>
      </c>
      <c r="E493" s="10" t="s">
        <v>49</v>
      </c>
      <c r="F493" s="5" t="n">
        <v>1330</v>
      </c>
      <c r="G493" s="6" t="s">
        <v>20</v>
      </c>
      <c r="H493" s="12" t="s">
        <v>68</v>
      </c>
      <c r="I493" s="7" t="s">
        <v>21</v>
      </c>
      <c r="J493" s="2" t="s">
        <v>22</v>
      </c>
      <c r="K493" s="2" t="s">
        <v>1345</v>
      </c>
      <c r="L493" s="14" t="s">
        <v>72</v>
      </c>
      <c r="M493" s="8" t="s">
        <v>1356</v>
      </c>
      <c r="N493" s="2" t="s">
        <v>41</v>
      </c>
      <c r="O493" s="9" t="s">
        <v>42</v>
      </c>
      <c r="P493" s="8" t="s">
        <v>43</v>
      </c>
      <c r="Q493" s="8" t="s">
        <v>1370</v>
      </c>
    </row>
    <row r="494" customFormat="false" ht="23.85" hidden="false" customHeight="false" outlineLevel="0" collapsed="false">
      <c r="A494" s="2" t="s">
        <v>1371</v>
      </c>
      <c r="B494" s="2" t="s">
        <v>1372</v>
      </c>
      <c r="C494" s="3" t="n">
        <v>41.78</v>
      </c>
      <c r="D494" s="3" t="n">
        <v>-71.6</v>
      </c>
      <c r="E494" s="4" t="s">
        <v>19</v>
      </c>
      <c r="F494" s="5" t="n">
        <v>284</v>
      </c>
      <c r="G494" s="6" t="s">
        <v>20</v>
      </c>
      <c r="H494" s="10" t="s">
        <v>49</v>
      </c>
      <c r="I494" s="7" t="s">
        <v>21</v>
      </c>
      <c r="J494" s="2" t="s">
        <v>22</v>
      </c>
      <c r="K494" s="2" t="s">
        <v>1373</v>
      </c>
      <c r="L494" s="14" t="s">
        <v>72</v>
      </c>
      <c r="M494" s="8" t="s">
        <v>1374</v>
      </c>
      <c r="N494" s="2" t="s">
        <v>41</v>
      </c>
      <c r="O494" s="9" t="s">
        <v>42</v>
      </c>
      <c r="P494" s="8" t="s">
        <v>43</v>
      </c>
      <c r="Q494" s="8" t="s">
        <v>1375</v>
      </c>
    </row>
    <row r="495" customFormat="false" ht="23.85" hidden="false" customHeight="false" outlineLevel="0" collapsed="false">
      <c r="A495" s="2" t="s">
        <v>1371</v>
      </c>
      <c r="B495" s="2" t="s">
        <v>1376</v>
      </c>
      <c r="C495" s="3" t="n">
        <v>41.43</v>
      </c>
      <c r="D495" s="3" t="n">
        <v>-71.55</v>
      </c>
      <c r="E495" s="10" t="s">
        <v>49</v>
      </c>
      <c r="F495" s="5" t="n">
        <v>63</v>
      </c>
      <c r="G495" s="11" t="s">
        <v>67</v>
      </c>
      <c r="H495" s="12" t="s">
        <v>68</v>
      </c>
      <c r="I495" s="13" t="s">
        <v>69</v>
      </c>
      <c r="J495" s="2" t="s">
        <v>70</v>
      </c>
      <c r="K495" s="2" t="s">
        <v>649</v>
      </c>
      <c r="L495" s="14" t="s">
        <v>72</v>
      </c>
      <c r="M495" s="8" t="s">
        <v>73</v>
      </c>
      <c r="N495" s="2" t="s">
        <v>70</v>
      </c>
      <c r="O495" s="14" t="s">
        <v>294</v>
      </c>
      <c r="P495" s="8" t="s">
        <v>295</v>
      </c>
      <c r="Q495" s="8" t="s">
        <v>1377</v>
      </c>
    </row>
    <row r="496" customFormat="false" ht="23.85" hidden="false" customHeight="false" outlineLevel="0" collapsed="false">
      <c r="A496" s="2" t="s">
        <v>1371</v>
      </c>
      <c r="B496" s="2" t="s">
        <v>1378</v>
      </c>
      <c r="C496" s="3" t="n">
        <v>41.38</v>
      </c>
      <c r="D496" s="3" t="n">
        <v>-71.66</v>
      </c>
      <c r="E496" s="10" t="s">
        <v>49</v>
      </c>
      <c r="F496" s="5" t="n">
        <v>42</v>
      </c>
      <c r="G496" s="11" t="s">
        <v>67</v>
      </c>
      <c r="H496" s="12" t="s">
        <v>68</v>
      </c>
      <c r="I496" s="13" t="s">
        <v>69</v>
      </c>
      <c r="J496" s="2" t="s">
        <v>70</v>
      </c>
      <c r="K496" s="2" t="s">
        <v>649</v>
      </c>
      <c r="L496" s="14" t="s">
        <v>72</v>
      </c>
      <c r="M496" s="8" t="s">
        <v>73</v>
      </c>
      <c r="N496" s="2" t="s">
        <v>70</v>
      </c>
      <c r="O496" s="14" t="s">
        <v>294</v>
      </c>
      <c r="P496" s="8" t="s">
        <v>295</v>
      </c>
      <c r="Q496" s="8" t="s">
        <v>1379</v>
      </c>
    </row>
    <row r="497" customFormat="false" ht="23.85" hidden="false" customHeight="false" outlineLevel="0" collapsed="false">
      <c r="A497" s="2" t="s">
        <v>1371</v>
      </c>
      <c r="B497" s="2" t="s">
        <v>1380</v>
      </c>
      <c r="C497" s="3" t="n">
        <v>41.68</v>
      </c>
      <c r="D497" s="3" t="n">
        <v>-71.63</v>
      </c>
      <c r="E497" s="10" t="s">
        <v>49</v>
      </c>
      <c r="F497" s="5" t="n">
        <v>274</v>
      </c>
      <c r="G497" s="6" t="s">
        <v>20</v>
      </c>
      <c r="H497" s="12" t="s">
        <v>68</v>
      </c>
      <c r="I497" s="7" t="s">
        <v>21</v>
      </c>
      <c r="J497" s="2" t="s">
        <v>22</v>
      </c>
      <c r="K497" s="2" t="s">
        <v>1381</v>
      </c>
      <c r="L497" s="14" t="s">
        <v>72</v>
      </c>
      <c r="M497" s="8" t="s">
        <v>73</v>
      </c>
      <c r="N497" s="2" t="s">
        <v>41</v>
      </c>
      <c r="O497" s="14" t="s">
        <v>294</v>
      </c>
      <c r="P497" s="8" t="s">
        <v>295</v>
      </c>
      <c r="Q497" s="8" t="s">
        <v>1382</v>
      </c>
    </row>
    <row r="498" customFormat="false" ht="23.85" hidden="false" customHeight="false" outlineLevel="0" collapsed="false">
      <c r="A498" s="2" t="s">
        <v>1371</v>
      </c>
      <c r="B498" s="2" t="s">
        <v>1383</v>
      </c>
      <c r="C498" s="3" t="n">
        <v>41.97</v>
      </c>
      <c r="D498" s="3" t="n">
        <v>-71.79</v>
      </c>
      <c r="E498" s="10" t="s">
        <v>49</v>
      </c>
      <c r="F498" s="5" t="n">
        <v>542</v>
      </c>
      <c r="G498" s="11" t="s">
        <v>67</v>
      </c>
      <c r="H498" s="12" t="s">
        <v>68</v>
      </c>
      <c r="I498" s="13" t="s">
        <v>69</v>
      </c>
      <c r="J498" s="2" t="s">
        <v>70</v>
      </c>
      <c r="K498" s="2" t="s">
        <v>649</v>
      </c>
      <c r="L498" s="14" t="s">
        <v>72</v>
      </c>
      <c r="M498" s="8" t="s">
        <v>73</v>
      </c>
      <c r="N498" s="2" t="s">
        <v>70</v>
      </c>
      <c r="O498" s="14" t="s">
        <v>294</v>
      </c>
      <c r="P498" s="8" t="s">
        <v>295</v>
      </c>
      <c r="Q498" s="8" t="s">
        <v>284</v>
      </c>
    </row>
    <row r="499" customFormat="false" ht="23.85" hidden="false" customHeight="false" outlineLevel="0" collapsed="false">
      <c r="A499" s="2" t="s">
        <v>1371</v>
      </c>
      <c r="B499" s="2" t="s">
        <v>1384</v>
      </c>
      <c r="C499" s="3" t="n">
        <v>41.9</v>
      </c>
      <c r="D499" s="3" t="n">
        <v>-71.75</v>
      </c>
      <c r="E499" s="10" t="s">
        <v>49</v>
      </c>
      <c r="F499" s="5" t="n">
        <v>700</v>
      </c>
      <c r="G499" s="6" t="s">
        <v>20</v>
      </c>
      <c r="H499" s="12" t="s">
        <v>68</v>
      </c>
      <c r="I499" s="7" t="s">
        <v>21</v>
      </c>
      <c r="J499" s="2" t="s">
        <v>22</v>
      </c>
      <c r="K499" s="2" t="s">
        <v>1385</v>
      </c>
      <c r="L499" s="14" t="s">
        <v>72</v>
      </c>
      <c r="M499" s="8" t="s">
        <v>73</v>
      </c>
      <c r="N499" s="2" t="s">
        <v>70</v>
      </c>
      <c r="O499" s="14" t="s">
        <v>294</v>
      </c>
      <c r="P499" s="8" t="s">
        <v>295</v>
      </c>
      <c r="Q499" s="8" t="s">
        <v>1386</v>
      </c>
    </row>
    <row r="500" customFormat="false" ht="23.85" hidden="false" customHeight="false" outlineLevel="0" collapsed="false">
      <c r="A500" s="2" t="s">
        <v>1371</v>
      </c>
      <c r="B500" s="2" t="s">
        <v>1387</v>
      </c>
      <c r="C500" s="3" t="n">
        <v>41.57</v>
      </c>
      <c r="D500" s="3" t="n">
        <v>-71.18</v>
      </c>
      <c r="E500" s="10" t="s">
        <v>49</v>
      </c>
      <c r="F500" s="5" t="n">
        <v>190</v>
      </c>
      <c r="G500" s="11" t="s">
        <v>67</v>
      </c>
      <c r="H500" s="12" t="s">
        <v>68</v>
      </c>
      <c r="I500" s="13" t="s">
        <v>69</v>
      </c>
      <c r="J500" s="2" t="s">
        <v>70</v>
      </c>
      <c r="K500" s="2" t="s">
        <v>1388</v>
      </c>
      <c r="L500" s="14" t="s">
        <v>72</v>
      </c>
      <c r="M500" s="8" t="s">
        <v>73</v>
      </c>
      <c r="N500" s="2" t="s">
        <v>70</v>
      </c>
      <c r="O500" s="14" t="s">
        <v>294</v>
      </c>
      <c r="P500" s="8" t="s">
        <v>295</v>
      </c>
      <c r="Q500" s="8" t="s">
        <v>1379</v>
      </c>
    </row>
    <row r="501" customFormat="false" ht="23.85" hidden="false" customHeight="false" outlineLevel="0" collapsed="false">
      <c r="A501" s="2" t="s">
        <v>1371</v>
      </c>
      <c r="B501" s="2" t="s">
        <v>1389</v>
      </c>
      <c r="C501" s="3" t="n">
        <v>41.4</v>
      </c>
      <c r="D501" s="3" t="n">
        <v>-71.51</v>
      </c>
      <c r="E501" s="4" t="s">
        <v>19</v>
      </c>
      <c r="F501" s="5" t="n">
        <v>0</v>
      </c>
      <c r="G501" s="11" t="s">
        <v>67</v>
      </c>
      <c r="H501" s="12" t="s">
        <v>68</v>
      </c>
      <c r="I501" s="13" t="s">
        <v>69</v>
      </c>
      <c r="J501" s="2" t="s">
        <v>70</v>
      </c>
      <c r="K501" s="2" t="s">
        <v>1390</v>
      </c>
      <c r="L501" s="14" t="s">
        <v>72</v>
      </c>
      <c r="M501" s="8" t="s">
        <v>1391</v>
      </c>
      <c r="N501" s="2" t="s">
        <v>70</v>
      </c>
      <c r="O501" s="14" t="s">
        <v>294</v>
      </c>
      <c r="P501" s="8" t="s">
        <v>295</v>
      </c>
      <c r="Q501" s="8" t="s">
        <v>1392</v>
      </c>
    </row>
    <row r="502" customFormat="false" ht="23.85" hidden="false" customHeight="false" outlineLevel="0" collapsed="false">
      <c r="A502" s="2" t="s">
        <v>1371</v>
      </c>
      <c r="B502" s="2" t="s">
        <v>1393</v>
      </c>
      <c r="C502" s="3" t="n">
        <v>41.35</v>
      </c>
      <c r="D502" s="3" t="n">
        <v>-71.65</v>
      </c>
      <c r="E502" s="4" t="s">
        <v>19</v>
      </c>
      <c r="F502" s="5" t="n">
        <v>0</v>
      </c>
      <c r="G502" s="11" t="s">
        <v>67</v>
      </c>
      <c r="H502" s="12" t="s">
        <v>68</v>
      </c>
      <c r="I502" s="13" t="s">
        <v>69</v>
      </c>
      <c r="J502" s="2" t="s">
        <v>70</v>
      </c>
      <c r="K502" s="2" t="s">
        <v>1390</v>
      </c>
      <c r="L502" s="14" t="s">
        <v>72</v>
      </c>
      <c r="M502" s="8" t="s">
        <v>73</v>
      </c>
      <c r="N502" s="2" t="s">
        <v>70</v>
      </c>
      <c r="O502" s="14" t="s">
        <v>294</v>
      </c>
      <c r="P502" s="8" t="s">
        <v>295</v>
      </c>
      <c r="Q502" s="8" t="s">
        <v>1392</v>
      </c>
    </row>
    <row r="503" customFormat="false" ht="23.85" hidden="false" customHeight="false" outlineLevel="0" collapsed="false">
      <c r="A503" s="2" t="s">
        <v>1371</v>
      </c>
      <c r="B503" s="2" t="s">
        <v>1394</v>
      </c>
      <c r="C503" s="3" t="n">
        <v>41.33</v>
      </c>
      <c r="D503" s="3" t="n">
        <v>-71.78</v>
      </c>
      <c r="E503" s="10" t="s">
        <v>49</v>
      </c>
      <c r="F503" s="5" t="n">
        <v>0</v>
      </c>
      <c r="G503" s="11" t="s">
        <v>67</v>
      </c>
      <c r="H503" s="12" t="s">
        <v>68</v>
      </c>
      <c r="I503" s="13" t="s">
        <v>69</v>
      </c>
      <c r="J503" s="2" t="s">
        <v>70</v>
      </c>
      <c r="K503" s="2" t="s">
        <v>1390</v>
      </c>
      <c r="L503" s="14" t="s">
        <v>72</v>
      </c>
      <c r="M503" s="8" t="s">
        <v>73</v>
      </c>
      <c r="N503" s="2" t="s">
        <v>70</v>
      </c>
      <c r="O503" s="14" t="s">
        <v>294</v>
      </c>
      <c r="P503" s="8" t="s">
        <v>295</v>
      </c>
      <c r="Q503" s="8" t="s">
        <v>1392</v>
      </c>
    </row>
    <row r="504" customFormat="false" ht="23.85" hidden="false" customHeight="false" outlineLevel="0" collapsed="false">
      <c r="A504" s="2" t="s">
        <v>1371</v>
      </c>
      <c r="B504" s="2" t="s">
        <v>1395</v>
      </c>
      <c r="C504" s="3" t="n">
        <v>41.68</v>
      </c>
      <c r="D504" s="3" t="n">
        <v>-71.65</v>
      </c>
      <c r="E504" s="10" t="s">
        <v>49</v>
      </c>
      <c r="F504" s="5" t="n">
        <v>213</v>
      </c>
      <c r="G504" s="6" t="s">
        <v>20</v>
      </c>
      <c r="H504" s="12" t="s">
        <v>68</v>
      </c>
      <c r="I504" s="7" t="s">
        <v>21</v>
      </c>
      <c r="J504" s="2" t="s">
        <v>22</v>
      </c>
      <c r="K504" s="2" t="s">
        <v>1396</v>
      </c>
      <c r="L504" s="14" t="s">
        <v>72</v>
      </c>
      <c r="M504" s="8" t="s">
        <v>73</v>
      </c>
      <c r="N504" s="2" t="s">
        <v>41</v>
      </c>
      <c r="O504" s="14" t="s">
        <v>294</v>
      </c>
      <c r="P504" s="8" t="s">
        <v>295</v>
      </c>
      <c r="Q504" s="8" t="s">
        <v>1397</v>
      </c>
    </row>
    <row r="505" customFormat="false" ht="23.85" hidden="false" customHeight="false" outlineLevel="0" collapsed="false">
      <c r="A505" s="2" t="s">
        <v>1371</v>
      </c>
      <c r="B505" s="2" t="s">
        <v>1398</v>
      </c>
      <c r="C505" s="3" t="n">
        <v>41.95</v>
      </c>
      <c r="D505" s="3" t="n">
        <v>-71.72</v>
      </c>
      <c r="E505" s="10" t="s">
        <v>49</v>
      </c>
      <c r="F505" s="5" t="n">
        <v>500</v>
      </c>
      <c r="G505" s="6" t="s">
        <v>20</v>
      </c>
      <c r="H505" s="12" t="s">
        <v>68</v>
      </c>
      <c r="I505" s="7" t="s">
        <v>21</v>
      </c>
      <c r="J505" s="2" t="s">
        <v>22</v>
      </c>
      <c r="K505" s="2" t="s">
        <v>1399</v>
      </c>
      <c r="L505" s="14" t="s">
        <v>72</v>
      </c>
      <c r="M505" s="8" t="s">
        <v>73</v>
      </c>
      <c r="N505" s="2" t="s">
        <v>70</v>
      </c>
      <c r="O505" s="14" t="s">
        <v>294</v>
      </c>
      <c r="P505" s="8" t="s">
        <v>295</v>
      </c>
      <c r="Q505" s="8" t="s">
        <v>1386</v>
      </c>
    </row>
    <row r="506" customFormat="false" ht="23.85" hidden="false" customHeight="false" outlineLevel="0" collapsed="false">
      <c r="A506" s="2" t="s">
        <v>1400</v>
      </c>
      <c r="B506" s="2" t="s">
        <v>1401</v>
      </c>
      <c r="C506" s="3" t="n">
        <v>33.5</v>
      </c>
      <c r="D506" s="3" t="n">
        <v>-80.35</v>
      </c>
      <c r="E506" s="4" t="s">
        <v>19</v>
      </c>
      <c r="F506" s="5" t="n">
        <v>76.8</v>
      </c>
      <c r="G506" s="6" t="s">
        <v>20</v>
      </c>
      <c r="H506" s="4" t="s">
        <v>19</v>
      </c>
      <c r="I506" s="7" t="s">
        <v>21</v>
      </c>
      <c r="J506" s="2" t="s">
        <v>22</v>
      </c>
      <c r="K506" s="2" t="s">
        <v>1402</v>
      </c>
      <c r="L506" s="9" t="s">
        <v>36</v>
      </c>
      <c r="M506" s="8" t="s">
        <v>1403</v>
      </c>
      <c r="N506" s="2" t="s">
        <v>22</v>
      </c>
      <c r="O506" s="6" t="s">
        <v>26</v>
      </c>
      <c r="P506" s="8" t="s">
        <v>27</v>
      </c>
      <c r="Q506" s="8" t="s">
        <v>1404</v>
      </c>
    </row>
    <row r="507" customFormat="false" ht="23.85" hidden="false" customHeight="false" outlineLevel="0" collapsed="false">
      <c r="A507" s="2" t="s">
        <v>1400</v>
      </c>
      <c r="B507" s="2" t="s">
        <v>1405</v>
      </c>
      <c r="C507" s="3" t="n">
        <v>33.3</v>
      </c>
      <c r="D507" s="3" t="n">
        <v>-80.05</v>
      </c>
      <c r="E507" s="4" t="s">
        <v>19</v>
      </c>
      <c r="F507" s="5" t="n">
        <v>75.5</v>
      </c>
      <c r="G507" s="6" t="s">
        <v>20</v>
      </c>
      <c r="H507" s="4" t="s">
        <v>19</v>
      </c>
      <c r="I507" s="7" t="s">
        <v>21</v>
      </c>
      <c r="J507" s="2" t="s">
        <v>22</v>
      </c>
      <c r="K507" s="2" t="s">
        <v>1402</v>
      </c>
      <c r="L507" s="9" t="s">
        <v>36</v>
      </c>
      <c r="M507" s="8" t="s">
        <v>1403</v>
      </c>
      <c r="N507" s="2" t="s">
        <v>22</v>
      </c>
      <c r="O507" s="6" t="s">
        <v>26</v>
      </c>
      <c r="P507" s="8" t="s">
        <v>27</v>
      </c>
      <c r="Q507" s="8" t="s">
        <v>1404</v>
      </c>
    </row>
    <row r="508" customFormat="false" ht="23.85" hidden="false" customHeight="false" outlineLevel="0" collapsed="false">
      <c r="A508" s="2" t="s">
        <v>1400</v>
      </c>
      <c r="B508" s="2" t="s">
        <v>1406</v>
      </c>
      <c r="C508" s="3" t="n">
        <v>34.05</v>
      </c>
      <c r="D508" s="3" t="n">
        <v>-81.23</v>
      </c>
      <c r="E508" s="4" t="s">
        <v>19</v>
      </c>
      <c r="F508" s="5" t="n">
        <v>360</v>
      </c>
      <c r="G508" s="6" t="s">
        <v>20</v>
      </c>
      <c r="H508" s="4" t="s">
        <v>19</v>
      </c>
      <c r="I508" s="7" t="s">
        <v>21</v>
      </c>
      <c r="J508" s="2" t="s">
        <v>22</v>
      </c>
      <c r="K508" s="2" t="s">
        <v>1407</v>
      </c>
      <c r="L508" s="9" t="s">
        <v>36</v>
      </c>
      <c r="M508" s="8" t="s">
        <v>1408</v>
      </c>
      <c r="N508" s="2" t="s">
        <v>22</v>
      </c>
      <c r="O508" s="6" t="s">
        <v>26</v>
      </c>
      <c r="P508" s="8" t="s">
        <v>27</v>
      </c>
      <c r="Q508" s="8" t="s">
        <v>1409</v>
      </c>
    </row>
    <row r="509" customFormat="false" ht="23.85" hidden="false" customHeight="false" outlineLevel="0" collapsed="false">
      <c r="A509" s="2" t="s">
        <v>1400</v>
      </c>
      <c r="B509" s="2" t="s">
        <v>1410</v>
      </c>
      <c r="C509" s="3" t="n">
        <v>34.5</v>
      </c>
      <c r="D509" s="3" t="n">
        <v>-82.85</v>
      </c>
      <c r="E509" s="4" t="s">
        <v>19</v>
      </c>
      <c r="F509" s="5" t="n">
        <v>660</v>
      </c>
      <c r="G509" s="6" t="s">
        <v>20</v>
      </c>
      <c r="H509" s="4" t="s">
        <v>19</v>
      </c>
      <c r="I509" s="7" t="s">
        <v>21</v>
      </c>
      <c r="J509" s="2" t="s">
        <v>22</v>
      </c>
      <c r="K509" s="2" t="s">
        <v>369</v>
      </c>
      <c r="L509" s="6" t="s">
        <v>24</v>
      </c>
      <c r="M509" s="8" t="s">
        <v>1344</v>
      </c>
      <c r="N509" s="2" t="s">
        <v>22</v>
      </c>
      <c r="O509" s="6" t="s">
        <v>26</v>
      </c>
      <c r="P509" s="8" t="s">
        <v>27</v>
      </c>
      <c r="Q509" s="8" t="s">
        <v>73</v>
      </c>
    </row>
    <row r="510" customFormat="false" ht="23.85" hidden="false" customHeight="false" outlineLevel="0" collapsed="false">
      <c r="A510" s="2" t="s">
        <v>1400</v>
      </c>
      <c r="B510" s="2" t="s">
        <v>1411</v>
      </c>
      <c r="C510" s="3" t="n">
        <v>33.68</v>
      </c>
      <c r="D510" s="3" t="n">
        <v>-82.2</v>
      </c>
      <c r="E510" s="4" t="s">
        <v>19</v>
      </c>
      <c r="F510" s="5" t="n">
        <v>330</v>
      </c>
      <c r="G510" s="6" t="s">
        <v>20</v>
      </c>
      <c r="H510" s="4" t="s">
        <v>19</v>
      </c>
      <c r="I510" s="7" t="s">
        <v>21</v>
      </c>
      <c r="J510" s="2" t="s">
        <v>22</v>
      </c>
      <c r="K510" s="2" t="s">
        <v>369</v>
      </c>
      <c r="L510" s="6" t="s">
        <v>24</v>
      </c>
      <c r="M510" s="8" t="s">
        <v>1344</v>
      </c>
      <c r="N510" s="2" t="s">
        <v>22</v>
      </c>
      <c r="O510" s="6" t="s">
        <v>26</v>
      </c>
      <c r="P510" s="8" t="s">
        <v>27</v>
      </c>
      <c r="Q510" s="8" t="s">
        <v>73</v>
      </c>
    </row>
    <row r="511" customFormat="false" ht="23.85" hidden="false" customHeight="false" outlineLevel="0" collapsed="false">
      <c r="A511" s="2" t="s">
        <v>1400</v>
      </c>
      <c r="B511" s="2" t="s">
        <v>1412</v>
      </c>
      <c r="C511" s="3" t="n">
        <v>34.19</v>
      </c>
      <c r="D511" s="3" t="n">
        <v>-81.94</v>
      </c>
      <c r="E511" s="4" t="s">
        <v>19</v>
      </c>
      <c r="F511" s="5" t="n">
        <v>439</v>
      </c>
      <c r="G511" s="6" t="s">
        <v>20</v>
      </c>
      <c r="H511" s="4" t="s">
        <v>19</v>
      </c>
      <c r="I511" s="7" t="s">
        <v>21</v>
      </c>
      <c r="J511" s="2" t="s">
        <v>22</v>
      </c>
      <c r="K511" s="2" t="s">
        <v>1413</v>
      </c>
      <c r="L511" s="9" t="s">
        <v>36</v>
      </c>
      <c r="M511" s="8" t="s">
        <v>176</v>
      </c>
      <c r="N511" s="2" t="s">
        <v>41</v>
      </c>
      <c r="O511" s="9" t="s">
        <v>42</v>
      </c>
      <c r="P511" s="8" t="s">
        <v>43</v>
      </c>
      <c r="Q511" s="8" t="s">
        <v>1414</v>
      </c>
    </row>
    <row r="512" customFormat="false" ht="23.85" hidden="false" customHeight="false" outlineLevel="0" collapsed="false">
      <c r="A512" s="2" t="s">
        <v>1400</v>
      </c>
      <c r="B512" s="2" t="s">
        <v>1198</v>
      </c>
      <c r="C512" s="3" t="n">
        <v>35.1</v>
      </c>
      <c r="D512" s="3" t="n">
        <v>-81.05</v>
      </c>
      <c r="E512" s="4" t="s">
        <v>19</v>
      </c>
      <c r="F512" s="5" t="n">
        <v>569.4</v>
      </c>
      <c r="G512" s="6" t="s">
        <v>20</v>
      </c>
      <c r="H512" s="4" t="s">
        <v>19</v>
      </c>
      <c r="I512" s="7" t="s">
        <v>21</v>
      </c>
      <c r="J512" s="2" t="s">
        <v>22</v>
      </c>
      <c r="K512" s="2" t="s">
        <v>1196</v>
      </c>
      <c r="L512" s="6" t="s">
        <v>24</v>
      </c>
      <c r="M512" s="8" t="s">
        <v>1415</v>
      </c>
      <c r="N512" s="2" t="s">
        <v>22</v>
      </c>
      <c r="O512" s="6" t="s">
        <v>26</v>
      </c>
      <c r="P512" s="8" t="s">
        <v>27</v>
      </c>
      <c r="Q512" s="8" t="s">
        <v>1416</v>
      </c>
    </row>
    <row r="513" customFormat="false" ht="23.85" hidden="false" customHeight="false" outlineLevel="0" collapsed="false">
      <c r="A513" s="2" t="s">
        <v>1400</v>
      </c>
      <c r="B513" s="2" t="s">
        <v>1417</v>
      </c>
      <c r="C513" s="3" t="n">
        <v>34.83</v>
      </c>
      <c r="D513" s="3" t="n">
        <v>-82.9</v>
      </c>
      <c r="E513" s="4" t="s">
        <v>19</v>
      </c>
      <c r="F513" s="5" t="n">
        <v>800</v>
      </c>
      <c r="G513" s="6" t="s">
        <v>20</v>
      </c>
      <c r="H513" s="4" t="s">
        <v>19</v>
      </c>
      <c r="I513" s="7" t="s">
        <v>21</v>
      </c>
      <c r="J513" s="2" t="s">
        <v>22</v>
      </c>
      <c r="K513" s="2" t="s">
        <v>1196</v>
      </c>
      <c r="L513" s="6" t="s">
        <v>24</v>
      </c>
      <c r="M513" s="8" t="s">
        <v>1415</v>
      </c>
      <c r="N513" s="2" t="s">
        <v>22</v>
      </c>
      <c r="O513" s="6" t="s">
        <v>26</v>
      </c>
      <c r="P513" s="8" t="s">
        <v>27</v>
      </c>
      <c r="Q513" s="8" t="s">
        <v>73</v>
      </c>
    </row>
    <row r="514" customFormat="false" ht="23.85" hidden="false" customHeight="false" outlineLevel="0" collapsed="false">
      <c r="A514" s="2" t="s">
        <v>1400</v>
      </c>
      <c r="B514" s="2" t="s">
        <v>1418</v>
      </c>
      <c r="C514" s="3" t="n">
        <v>34.97</v>
      </c>
      <c r="D514" s="3" t="n">
        <v>-82.93</v>
      </c>
      <c r="E514" s="4" t="s">
        <v>19</v>
      </c>
      <c r="F514" s="5" t="n">
        <v>1110</v>
      </c>
      <c r="G514" s="6" t="s">
        <v>20</v>
      </c>
      <c r="H514" s="4" t="s">
        <v>19</v>
      </c>
      <c r="I514" s="7" t="s">
        <v>21</v>
      </c>
      <c r="J514" s="2" t="s">
        <v>22</v>
      </c>
      <c r="K514" s="2" t="s">
        <v>1196</v>
      </c>
      <c r="L514" s="6" t="s">
        <v>24</v>
      </c>
      <c r="M514" s="8" t="s">
        <v>1415</v>
      </c>
      <c r="N514" s="2" t="s">
        <v>22</v>
      </c>
      <c r="O514" s="6" t="s">
        <v>26</v>
      </c>
      <c r="P514" s="8" t="s">
        <v>27</v>
      </c>
      <c r="Q514" s="8" t="s">
        <v>1419</v>
      </c>
    </row>
    <row r="515" customFormat="false" ht="23.85" hidden="false" customHeight="false" outlineLevel="0" collapsed="false">
      <c r="A515" s="2" t="s">
        <v>1400</v>
      </c>
      <c r="B515" s="2" t="s">
        <v>1420</v>
      </c>
      <c r="C515" s="3" t="n">
        <v>34.42</v>
      </c>
      <c r="D515" s="3" t="n">
        <v>-80.87</v>
      </c>
      <c r="E515" s="4" t="s">
        <v>19</v>
      </c>
      <c r="F515" s="5" t="n">
        <v>225.5</v>
      </c>
      <c r="G515" s="6" t="s">
        <v>20</v>
      </c>
      <c r="H515" s="4" t="s">
        <v>19</v>
      </c>
      <c r="I515" s="7" t="s">
        <v>21</v>
      </c>
      <c r="J515" s="2" t="s">
        <v>22</v>
      </c>
      <c r="K515" s="2" t="s">
        <v>1196</v>
      </c>
      <c r="L515" s="6" t="s">
        <v>24</v>
      </c>
      <c r="M515" s="8" t="s">
        <v>1415</v>
      </c>
      <c r="N515" s="2" t="s">
        <v>22</v>
      </c>
      <c r="O515" s="6" t="s">
        <v>26</v>
      </c>
      <c r="P515" s="8" t="s">
        <v>27</v>
      </c>
      <c r="Q515" s="8" t="s">
        <v>1421</v>
      </c>
    </row>
    <row r="516" customFormat="false" ht="23.85" hidden="false" customHeight="false" outlineLevel="0" collapsed="false">
      <c r="A516" s="2" t="s">
        <v>1400</v>
      </c>
      <c r="B516" s="2" t="s">
        <v>1422</v>
      </c>
      <c r="C516" s="3" t="n">
        <v>34.15</v>
      </c>
      <c r="D516" s="3" t="n">
        <v>-82.75</v>
      </c>
      <c r="E516" s="10" t="s">
        <v>49</v>
      </c>
      <c r="F516" s="5" t="n">
        <v>475</v>
      </c>
      <c r="G516" s="6" t="s">
        <v>20</v>
      </c>
      <c r="H516" s="4" t="s">
        <v>19</v>
      </c>
      <c r="I516" s="7" t="s">
        <v>21</v>
      </c>
      <c r="J516" s="2" t="s">
        <v>22</v>
      </c>
      <c r="K516" s="2" t="s">
        <v>369</v>
      </c>
      <c r="L516" s="6" t="s">
        <v>24</v>
      </c>
      <c r="M516" s="8" t="s">
        <v>1344</v>
      </c>
      <c r="N516" s="2" t="s">
        <v>22</v>
      </c>
      <c r="O516" s="6" t="s">
        <v>26</v>
      </c>
      <c r="P516" s="8" t="s">
        <v>27</v>
      </c>
      <c r="Q516" s="8" t="s">
        <v>73</v>
      </c>
    </row>
    <row r="517" customFormat="false" ht="23.85" hidden="false" customHeight="false" outlineLevel="0" collapsed="false">
      <c r="A517" s="2" t="s">
        <v>1400</v>
      </c>
      <c r="B517" s="2" t="s">
        <v>1423</v>
      </c>
      <c r="C517" s="3" t="n">
        <v>34.47</v>
      </c>
      <c r="D517" s="3" t="n">
        <v>-80.15</v>
      </c>
      <c r="E517" s="10" t="s">
        <v>49</v>
      </c>
      <c r="F517" s="5" t="n">
        <v>220</v>
      </c>
      <c r="G517" s="6" t="s">
        <v>20</v>
      </c>
      <c r="H517" s="12" t="s">
        <v>68</v>
      </c>
      <c r="I517" s="7" t="s">
        <v>21</v>
      </c>
      <c r="J517" s="2" t="s">
        <v>22</v>
      </c>
      <c r="K517" s="2" t="s">
        <v>1196</v>
      </c>
      <c r="L517" s="6" t="s">
        <v>24</v>
      </c>
      <c r="M517" s="8" t="s">
        <v>1415</v>
      </c>
      <c r="N517" s="2" t="s">
        <v>41</v>
      </c>
      <c r="O517" s="9" t="s">
        <v>42</v>
      </c>
      <c r="P517" s="8" t="s">
        <v>43</v>
      </c>
      <c r="Q517" s="8" t="s">
        <v>1424</v>
      </c>
    </row>
    <row r="518" customFormat="false" ht="23.85" hidden="false" customHeight="false" outlineLevel="0" collapsed="false">
      <c r="A518" s="2" t="s">
        <v>1400</v>
      </c>
      <c r="B518" s="2" t="s">
        <v>1425</v>
      </c>
      <c r="C518" s="3" t="n">
        <v>34.3</v>
      </c>
      <c r="D518" s="3" t="n">
        <v>-81.33</v>
      </c>
      <c r="E518" s="10" t="s">
        <v>49</v>
      </c>
      <c r="F518" s="5" t="n">
        <v>425</v>
      </c>
      <c r="G518" s="6" t="s">
        <v>20</v>
      </c>
      <c r="H518" s="10" t="s">
        <v>49</v>
      </c>
      <c r="I518" s="7" t="s">
        <v>21</v>
      </c>
      <c r="J518" s="2" t="s">
        <v>22</v>
      </c>
      <c r="K518" s="2" t="s">
        <v>1178</v>
      </c>
      <c r="L518" s="14" t="s">
        <v>72</v>
      </c>
      <c r="M518" s="8" t="s">
        <v>1426</v>
      </c>
      <c r="N518" s="2" t="s">
        <v>41</v>
      </c>
      <c r="O518" s="9" t="s">
        <v>42</v>
      </c>
      <c r="P518" s="8" t="s">
        <v>43</v>
      </c>
      <c r="Q518" s="8" t="s">
        <v>1427</v>
      </c>
    </row>
    <row r="519" customFormat="false" ht="23.85" hidden="false" customHeight="false" outlineLevel="0" collapsed="false">
      <c r="A519" s="2" t="s">
        <v>1428</v>
      </c>
      <c r="B519" s="2" t="s">
        <v>1213</v>
      </c>
      <c r="C519" s="3" t="n">
        <v>44.9</v>
      </c>
      <c r="D519" s="3" t="n">
        <v>-100.4</v>
      </c>
      <c r="E519" s="4" t="s">
        <v>19</v>
      </c>
      <c r="F519" s="5" t="n">
        <v>1620</v>
      </c>
      <c r="G519" s="6" t="s">
        <v>20</v>
      </c>
      <c r="H519" s="4" t="s">
        <v>19</v>
      </c>
      <c r="I519" s="7" t="s">
        <v>21</v>
      </c>
      <c r="J519" s="2" t="s">
        <v>22</v>
      </c>
      <c r="K519" s="2" t="s">
        <v>1429</v>
      </c>
      <c r="L519" s="6" t="s">
        <v>24</v>
      </c>
      <c r="M519" s="8" t="s">
        <v>929</v>
      </c>
      <c r="N519" s="2" t="s">
        <v>22</v>
      </c>
      <c r="O519" s="6" t="s">
        <v>26</v>
      </c>
      <c r="P519" s="8" t="s">
        <v>27</v>
      </c>
      <c r="Q519" s="8" t="s">
        <v>1430</v>
      </c>
    </row>
    <row r="520" customFormat="false" ht="23.85" hidden="false" customHeight="false" outlineLevel="0" collapsed="false">
      <c r="A520" s="2" t="s">
        <v>1428</v>
      </c>
      <c r="B520" s="2" t="s">
        <v>1431</v>
      </c>
      <c r="C520" s="3" t="n">
        <v>44.35</v>
      </c>
      <c r="D520" s="3" t="n">
        <v>-99.9</v>
      </c>
      <c r="E520" s="4" t="s">
        <v>19</v>
      </c>
      <c r="F520" s="5" t="n">
        <v>1420</v>
      </c>
      <c r="G520" s="6" t="s">
        <v>20</v>
      </c>
      <c r="H520" s="4" t="s">
        <v>19</v>
      </c>
      <c r="I520" s="7" t="s">
        <v>21</v>
      </c>
      <c r="J520" s="2" t="s">
        <v>22</v>
      </c>
      <c r="K520" s="2" t="s">
        <v>1429</v>
      </c>
      <c r="L520" s="6" t="s">
        <v>24</v>
      </c>
      <c r="M520" s="8" t="s">
        <v>1432</v>
      </c>
      <c r="N520" s="2" t="s">
        <v>22</v>
      </c>
      <c r="O520" s="6" t="s">
        <v>26</v>
      </c>
      <c r="P520" s="8" t="s">
        <v>27</v>
      </c>
      <c r="Q520" s="8" t="s">
        <v>1433</v>
      </c>
    </row>
    <row r="521" customFormat="false" ht="23.85" hidden="false" customHeight="false" outlineLevel="0" collapsed="false">
      <c r="A521" s="2" t="s">
        <v>1428</v>
      </c>
      <c r="B521" s="2" t="s">
        <v>1434</v>
      </c>
      <c r="C521" s="3" t="n">
        <v>43.55</v>
      </c>
      <c r="D521" s="3" t="n">
        <v>-99.2</v>
      </c>
      <c r="E521" s="4" t="s">
        <v>19</v>
      </c>
      <c r="F521" s="5" t="n">
        <v>1350</v>
      </c>
      <c r="G521" s="6" t="s">
        <v>20</v>
      </c>
      <c r="H521" s="10" t="s">
        <v>49</v>
      </c>
      <c r="I521" s="7" t="s">
        <v>21</v>
      </c>
      <c r="J521" s="2" t="s">
        <v>22</v>
      </c>
      <c r="K521" s="2" t="s">
        <v>1429</v>
      </c>
      <c r="L521" s="6" t="s">
        <v>24</v>
      </c>
      <c r="M521" s="8" t="s">
        <v>1432</v>
      </c>
      <c r="N521" s="2" t="s">
        <v>22</v>
      </c>
      <c r="O521" s="6" t="s">
        <v>26</v>
      </c>
      <c r="P521" s="8" t="s">
        <v>27</v>
      </c>
      <c r="Q521" s="8" t="s">
        <v>1435</v>
      </c>
    </row>
    <row r="522" customFormat="false" ht="23.85" hidden="false" customHeight="false" outlineLevel="0" collapsed="false">
      <c r="A522" s="2" t="s">
        <v>1428</v>
      </c>
      <c r="B522" s="2" t="s">
        <v>969</v>
      </c>
      <c r="C522" s="3" t="n">
        <v>42.85</v>
      </c>
      <c r="D522" s="3" t="n">
        <v>-97.65</v>
      </c>
      <c r="E522" s="4" t="s">
        <v>19</v>
      </c>
      <c r="F522" s="5" t="n">
        <v>1208</v>
      </c>
      <c r="G522" s="6" t="s">
        <v>20</v>
      </c>
      <c r="H522" s="10" t="s">
        <v>49</v>
      </c>
      <c r="I522" s="7" t="s">
        <v>21</v>
      </c>
      <c r="J522" s="2" t="s">
        <v>22</v>
      </c>
      <c r="K522" s="2" t="s">
        <v>1429</v>
      </c>
      <c r="L522" s="6" t="s">
        <v>24</v>
      </c>
      <c r="M522" s="8" t="s">
        <v>1432</v>
      </c>
      <c r="N522" s="2" t="s">
        <v>22</v>
      </c>
      <c r="O522" s="6" t="s">
        <v>26</v>
      </c>
      <c r="P522" s="8" t="s">
        <v>27</v>
      </c>
      <c r="Q522" s="8" t="s">
        <v>1436</v>
      </c>
    </row>
    <row r="523" customFormat="false" ht="23.85" hidden="false" customHeight="false" outlineLevel="0" collapsed="false">
      <c r="A523" s="2" t="s">
        <v>1428</v>
      </c>
      <c r="B523" s="2" t="s">
        <v>1437</v>
      </c>
      <c r="C523" s="3" t="n">
        <v>45.3</v>
      </c>
      <c r="D523" s="3" t="n">
        <v>-96.6</v>
      </c>
      <c r="E523" s="4" t="s">
        <v>19</v>
      </c>
      <c r="F523" s="5" t="n">
        <v>965</v>
      </c>
      <c r="G523" s="11" t="s">
        <v>67</v>
      </c>
      <c r="H523" s="10" t="s">
        <v>49</v>
      </c>
      <c r="I523" s="13" t="s">
        <v>69</v>
      </c>
      <c r="J523" s="2" t="s">
        <v>70</v>
      </c>
      <c r="K523" s="2" t="s">
        <v>1438</v>
      </c>
      <c r="L523" s="9" t="s">
        <v>36</v>
      </c>
      <c r="M523" s="8" t="s">
        <v>432</v>
      </c>
      <c r="N523" s="2" t="s">
        <v>41</v>
      </c>
      <c r="O523" s="9" t="s">
        <v>42</v>
      </c>
      <c r="P523" s="8" t="s">
        <v>43</v>
      </c>
      <c r="Q523" s="8" t="s">
        <v>1439</v>
      </c>
    </row>
    <row r="524" customFormat="false" ht="23.85" hidden="false" customHeight="false" outlineLevel="0" collapsed="false">
      <c r="A524" s="2" t="s">
        <v>1428</v>
      </c>
      <c r="B524" s="2" t="s">
        <v>1440</v>
      </c>
      <c r="C524" s="3" t="n">
        <v>44.31</v>
      </c>
      <c r="D524" s="3" t="n">
        <v>-97.55</v>
      </c>
      <c r="E524" s="10" t="s">
        <v>49</v>
      </c>
      <c r="F524" s="5" t="n">
        <v>1729</v>
      </c>
      <c r="G524" s="11" t="s">
        <v>67</v>
      </c>
      <c r="H524" s="12" t="s">
        <v>68</v>
      </c>
      <c r="I524" s="13" t="s">
        <v>69</v>
      </c>
      <c r="J524" s="2" t="s">
        <v>70</v>
      </c>
      <c r="K524" s="2" t="s">
        <v>1441</v>
      </c>
      <c r="L524" s="9" t="s">
        <v>36</v>
      </c>
      <c r="M524" s="8" t="s">
        <v>176</v>
      </c>
      <c r="N524" s="2" t="s">
        <v>41</v>
      </c>
      <c r="O524" s="9" t="s">
        <v>42</v>
      </c>
      <c r="P524" s="8" t="s">
        <v>43</v>
      </c>
      <c r="Q524" s="8" t="s">
        <v>1442</v>
      </c>
    </row>
    <row r="525" customFormat="false" ht="23.85" hidden="false" customHeight="false" outlineLevel="0" collapsed="false">
      <c r="A525" s="2" t="s">
        <v>1428</v>
      </c>
      <c r="B525" s="2" t="s">
        <v>1443</v>
      </c>
      <c r="C525" s="3" t="n">
        <v>45.4</v>
      </c>
      <c r="D525" s="3" t="n">
        <v>-97.3</v>
      </c>
      <c r="E525" s="10" t="s">
        <v>49</v>
      </c>
      <c r="F525" s="5" t="n">
        <v>1802</v>
      </c>
      <c r="G525" s="11" t="s">
        <v>67</v>
      </c>
      <c r="H525" s="12" t="s">
        <v>68</v>
      </c>
      <c r="I525" s="13" t="s">
        <v>69</v>
      </c>
      <c r="J525" s="2" t="s">
        <v>70</v>
      </c>
      <c r="K525" s="2" t="s">
        <v>1441</v>
      </c>
      <c r="L525" s="14" t="s">
        <v>72</v>
      </c>
      <c r="M525" s="8" t="s">
        <v>73</v>
      </c>
      <c r="N525" s="2" t="s">
        <v>70</v>
      </c>
      <c r="O525" s="9" t="s">
        <v>42</v>
      </c>
      <c r="P525" s="8" t="s">
        <v>43</v>
      </c>
      <c r="Q525" s="8" t="s">
        <v>281</v>
      </c>
    </row>
    <row r="526" customFormat="false" ht="23.85" hidden="false" customHeight="false" outlineLevel="0" collapsed="false">
      <c r="A526" s="2" t="s">
        <v>1428</v>
      </c>
      <c r="B526" s="2" t="s">
        <v>1444</v>
      </c>
      <c r="C526" s="3" t="n">
        <v>45.43</v>
      </c>
      <c r="D526" s="3" t="n">
        <v>-97.26</v>
      </c>
      <c r="E526" s="10" t="s">
        <v>49</v>
      </c>
      <c r="F526" s="5" t="n">
        <v>1798</v>
      </c>
      <c r="G526" s="11" t="s">
        <v>67</v>
      </c>
      <c r="H526" s="12" t="s">
        <v>68</v>
      </c>
      <c r="I526" s="13" t="s">
        <v>69</v>
      </c>
      <c r="J526" s="2" t="s">
        <v>70</v>
      </c>
      <c r="K526" s="2" t="s">
        <v>71</v>
      </c>
      <c r="L526" s="14" t="s">
        <v>72</v>
      </c>
      <c r="M526" s="8" t="s">
        <v>73</v>
      </c>
      <c r="N526" s="2" t="s">
        <v>70</v>
      </c>
      <c r="O526" s="9" t="s">
        <v>42</v>
      </c>
      <c r="P526" s="8" t="s">
        <v>43</v>
      </c>
      <c r="Q526" s="8" t="s">
        <v>1445</v>
      </c>
    </row>
    <row r="527" customFormat="false" ht="23.85" hidden="false" customHeight="false" outlineLevel="0" collapsed="false">
      <c r="A527" s="2" t="s">
        <v>1428</v>
      </c>
      <c r="B527" s="2" t="s">
        <v>1446</v>
      </c>
      <c r="C527" s="3" t="n">
        <v>45.46</v>
      </c>
      <c r="D527" s="3" t="n">
        <v>-97.32</v>
      </c>
      <c r="E527" s="10" t="s">
        <v>49</v>
      </c>
      <c r="F527" s="5" t="n">
        <v>1804</v>
      </c>
      <c r="G527" s="11" t="s">
        <v>67</v>
      </c>
      <c r="H527" s="12" t="s">
        <v>68</v>
      </c>
      <c r="I527" s="13" t="s">
        <v>69</v>
      </c>
      <c r="J527" s="2" t="s">
        <v>70</v>
      </c>
      <c r="K527" s="2" t="s">
        <v>71</v>
      </c>
      <c r="L527" s="14" t="s">
        <v>72</v>
      </c>
      <c r="M527" s="8" t="s">
        <v>73</v>
      </c>
      <c r="N527" s="2" t="s">
        <v>70</v>
      </c>
      <c r="O527" s="9" t="s">
        <v>42</v>
      </c>
      <c r="P527" s="8" t="s">
        <v>43</v>
      </c>
      <c r="Q527" s="8" t="s">
        <v>281</v>
      </c>
    </row>
    <row r="528" customFormat="false" ht="23.85" hidden="false" customHeight="false" outlineLevel="0" collapsed="false">
      <c r="A528" s="2" t="s">
        <v>1428</v>
      </c>
      <c r="B528" s="2" t="s">
        <v>1447</v>
      </c>
      <c r="C528" s="3" t="n">
        <v>43.34</v>
      </c>
      <c r="D528" s="3" t="n">
        <v>-103.43</v>
      </c>
      <c r="E528" s="4" t="s">
        <v>19</v>
      </c>
      <c r="F528" s="5" t="n">
        <v>3187</v>
      </c>
      <c r="G528" s="6" t="s">
        <v>20</v>
      </c>
      <c r="H528" s="10" t="s">
        <v>49</v>
      </c>
      <c r="I528" s="7" t="s">
        <v>21</v>
      </c>
      <c r="J528" s="2" t="s">
        <v>22</v>
      </c>
      <c r="K528" s="2" t="s">
        <v>1448</v>
      </c>
      <c r="L528" s="9" t="s">
        <v>36</v>
      </c>
      <c r="M528" s="8" t="s">
        <v>1449</v>
      </c>
      <c r="N528" s="2" t="s">
        <v>22</v>
      </c>
      <c r="O528" s="6" t="s">
        <v>26</v>
      </c>
      <c r="P528" s="8" t="s">
        <v>27</v>
      </c>
      <c r="Q528" s="8" t="s">
        <v>580</v>
      </c>
    </row>
    <row r="529" customFormat="false" ht="23.85" hidden="false" customHeight="false" outlineLevel="0" collapsed="false">
      <c r="A529" s="2" t="s">
        <v>1428</v>
      </c>
      <c r="B529" s="2" t="s">
        <v>1450</v>
      </c>
      <c r="C529" s="3" t="n">
        <v>44.55</v>
      </c>
      <c r="D529" s="3" t="n">
        <v>-97.08</v>
      </c>
      <c r="E529" s="4" t="s">
        <v>19</v>
      </c>
      <c r="F529" s="5" t="n">
        <v>1646</v>
      </c>
      <c r="G529" s="11" t="s">
        <v>67</v>
      </c>
      <c r="H529" s="12" t="s">
        <v>68</v>
      </c>
      <c r="I529" s="13" t="s">
        <v>69</v>
      </c>
      <c r="J529" s="2" t="s">
        <v>70</v>
      </c>
      <c r="K529" s="2" t="s">
        <v>1441</v>
      </c>
      <c r="L529" s="14" t="s">
        <v>72</v>
      </c>
      <c r="M529" s="8" t="s">
        <v>73</v>
      </c>
      <c r="N529" s="2" t="s">
        <v>70</v>
      </c>
      <c r="O529" s="9" t="s">
        <v>42</v>
      </c>
      <c r="P529" s="8" t="s">
        <v>43</v>
      </c>
      <c r="Q529" s="8" t="s">
        <v>281</v>
      </c>
    </row>
    <row r="530" customFormat="false" ht="23.85" hidden="false" customHeight="false" outlineLevel="0" collapsed="false">
      <c r="A530" s="2" t="s">
        <v>1428</v>
      </c>
      <c r="B530" s="2" t="s">
        <v>1451</v>
      </c>
      <c r="C530" s="3" t="n">
        <v>44.07</v>
      </c>
      <c r="D530" s="3" t="n">
        <v>-103.5</v>
      </c>
      <c r="E530" s="4" t="s">
        <v>19</v>
      </c>
      <c r="F530" s="5" t="n">
        <v>4580</v>
      </c>
      <c r="G530" s="6" t="s">
        <v>20</v>
      </c>
      <c r="H530" s="10" t="s">
        <v>49</v>
      </c>
      <c r="I530" s="7" t="s">
        <v>21</v>
      </c>
      <c r="J530" s="2" t="s">
        <v>22</v>
      </c>
      <c r="K530" s="2" t="s">
        <v>1452</v>
      </c>
      <c r="L530" s="9" t="s">
        <v>36</v>
      </c>
      <c r="M530" s="8" t="s">
        <v>1453</v>
      </c>
      <c r="N530" s="2" t="s">
        <v>41</v>
      </c>
      <c r="O530" s="9" t="s">
        <v>42</v>
      </c>
      <c r="P530" s="8" t="s">
        <v>43</v>
      </c>
      <c r="Q530" s="8" t="s">
        <v>1454</v>
      </c>
    </row>
    <row r="531" customFormat="false" ht="23.85" hidden="false" customHeight="false" outlineLevel="0" collapsed="false">
      <c r="A531" s="2" t="s">
        <v>1428</v>
      </c>
      <c r="B531" s="2" t="s">
        <v>1455</v>
      </c>
      <c r="C531" s="3" t="n">
        <v>43.93</v>
      </c>
      <c r="D531" s="3" t="n">
        <v>-103.55</v>
      </c>
      <c r="E531" s="4" t="s">
        <v>19</v>
      </c>
      <c r="F531" s="5" t="n">
        <v>4600</v>
      </c>
      <c r="G531" s="6" t="s">
        <v>20</v>
      </c>
      <c r="H531" s="12" t="s">
        <v>68</v>
      </c>
      <c r="I531" s="7" t="s">
        <v>21</v>
      </c>
      <c r="J531" s="2" t="s">
        <v>22</v>
      </c>
      <c r="K531" s="2" t="s">
        <v>1456</v>
      </c>
      <c r="L531" s="9" t="s">
        <v>36</v>
      </c>
      <c r="M531" s="8" t="s">
        <v>176</v>
      </c>
      <c r="N531" s="2" t="s">
        <v>41</v>
      </c>
      <c r="O531" s="9" t="s">
        <v>42</v>
      </c>
      <c r="P531" s="8" t="s">
        <v>43</v>
      </c>
      <c r="Q531" s="8" t="s">
        <v>1457</v>
      </c>
    </row>
    <row r="532" customFormat="false" ht="23.85" hidden="false" customHeight="false" outlineLevel="0" collapsed="false">
      <c r="A532" s="2" t="s">
        <v>1458</v>
      </c>
      <c r="B532" s="2" t="s">
        <v>607</v>
      </c>
      <c r="C532" s="3" t="n">
        <v>36.2</v>
      </c>
      <c r="D532" s="3" t="n">
        <v>-88.05</v>
      </c>
      <c r="E532" s="4" t="s">
        <v>19</v>
      </c>
      <c r="F532" s="5" t="n">
        <v>359</v>
      </c>
      <c r="G532" s="6" t="s">
        <v>20</v>
      </c>
      <c r="H532" s="4" t="s">
        <v>19</v>
      </c>
      <c r="I532" s="7" t="s">
        <v>21</v>
      </c>
      <c r="J532" s="2" t="s">
        <v>22</v>
      </c>
      <c r="K532" s="2" t="s">
        <v>23</v>
      </c>
      <c r="L532" s="6" t="s">
        <v>24</v>
      </c>
      <c r="M532" s="8" t="s">
        <v>25</v>
      </c>
      <c r="N532" s="2" t="s">
        <v>22</v>
      </c>
      <c r="O532" s="6" t="s">
        <v>26</v>
      </c>
      <c r="P532" s="8" t="s">
        <v>27</v>
      </c>
      <c r="Q532" s="8" t="s">
        <v>1459</v>
      </c>
    </row>
    <row r="533" customFormat="false" ht="23.85" hidden="false" customHeight="false" outlineLevel="0" collapsed="false">
      <c r="A533" s="2" t="s">
        <v>1458</v>
      </c>
      <c r="B533" s="2" t="s">
        <v>1460</v>
      </c>
      <c r="C533" s="3" t="n">
        <v>36.38</v>
      </c>
      <c r="D533" s="3" t="n">
        <v>-89.38</v>
      </c>
      <c r="E533" s="4" t="s">
        <v>19</v>
      </c>
      <c r="F533" s="5" t="n">
        <v>282</v>
      </c>
      <c r="G533" s="11" t="s">
        <v>67</v>
      </c>
      <c r="H533" s="10" t="s">
        <v>49</v>
      </c>
      <c r="I533" s="13" t="s">
        <v>69</v>
      </c>
      <c r="J533" s="2" t="s">
        <v>70</v>
      </c>
      <c r="K533" s="2" t="s">
        <v>1461</v>
      </c>
      <c r="L533" s="9" t="s">
        <v>36</v>
      </c>
      <c r="M533" s="8" t="s">
        <v>176</v>
      </c>
      <c r="N533" s="2" t="s">
        <v>41</v>
      </c>
      <c r="O533" s="9" t="s">
        <v>42</v>
      </c>
      <c r="P533" s="8" t="s">
        <v>43</v>
      </c>
      <c r="Q533" s="8" t="s">
        <v>1462</v>
      </c>
    </row>
    <row r="534" customFormat="false" ht="23.85" hidden="false" customHeight="false" outlineLevel="0" collapsed="false">
      <c r="A534" s="2" t="s">
        <v>1458</v>
      </c>
      <c r="B534" s="2" t="s">
        <v>1463</v>
      </c>
      <c r="C534" s="3" t="n">
        <v>35.75</v>
      </c>
      <c r="D534" s="3" t="n">
        <v>-84.75</v>
      </c>
      <c r="E534" s="4" t="s">
        <v>19</v>
      </c>
      <c r="F534" s="5" t="n">
        <v>741</v>
      </c>
      <c r="G534" s="6" t="s">
        <v>20</v>
      </c>
      <c r="H534" s="4" t="s">
        <v>19</v>
      </c>
      <c r="I534" s="7" t="s">
        <v>21</v>
      </c>
      <c r="J534" s="2" t="s">
        <v>22</v>
      </c>
      <c r="K534" s="2" t="s">
        <v>23</v>
      </c>
      <c r="L534" s="6" t="s">
        <v>24</v>
      </c>
      <c r="M534" s="8" t="s">
        <v>1464</v>
      </c>
      <c r="N534" s="2" t="s">
        <v>22</v>
      </c>
      <c r="O534" s="6" t="s">
        <v>26</v>
      </c>
      <c r="P534" s="8" t="s">
        <v>27</v>
      </c>
      <c r="Q534" s="8" t="s">
        <v>1465</v>
      </c>
    </row>
    <row r="535" customFormat="false" ht="23.85" hidden="false" customHeight="false" outlineLevel="0" collapsed="false">
      <c r="A535" s="2" t="s">
        <v>1458</v>
      </c>
      <c r="B535" s="2" t="s">
        <v>1466</v>
      </c>
      <c r="C535" s="3" t="n">
        <v>36.25</v>
      </c>
      <c r="D535" s="3" t="n">
        <v>-83.45</v>
      </c>
      <c r="E535" s="4" t="s">
        <v>19</v>
      </c>
      <c r="F535" s="5" t="n">
        <v>1075</v>
      </c>
      <c r="G535" s="6" t="s">
        <v>20</v>
      </c>
      <c r="H535" s="4" t="s">
        <v>19</v>
      </c>
      <c r="I535" s="7" t="s">
        <v>21</v>
      </c>
      <c r="J535" s="2" t="s">
        <v>22</v>
      </c>
      <c r="K535" s="2" t="s">
        <v>23</v>
      </c>
      <c r="L535" s="6" t="s">
        <v>24</v>
      </c>
      <c r="M535" s="8" t="s">
        <v>1464</v>
      </c>
      <c r="N535" s="2" t="s">
        <v>22</v>
      </c>
      <c r="O535" s="6" t="s">
        <v>26</v>
      </c>
      <c r="P535" s="8" t="s">
        <v>27</v>
      </c>
      <c r="Q535" s="8" t="s">
        <v>1467</v>
      </c>
    </row>
    <row r="536" customFormat="false" ht="23.85" hidden="false" customHeight="false" outlineLevel="0" collapsed="false">
      <c r="A536" s="2" t="s">
        <v>1458</v>
      </c>
      <c r="B536" s="2" t="s">
        <v>1468</v>
      </c>
      <c r="C536" s="3" t="n">
        <v>36</v>
      </c>
      <c r="D536" s="3" t="n">
        <v>-83.35</v>
      </c>
      <c r="E536" s="4" t="s">
        <v>19</v>
      </c>
      <c r="F536" s="5" t="n">
        <v>1002</v>
      </c>
      <c r="G536" s="6" t="s">
        <v>20</v>
      </c>
      <c r="H536" s="4" t="s">
        <v>19</v>
      </c>
      <c r="I536" s="7" t="s">
        <v>21</v>
      </c>
      <c r="J536" s="2" t="s">
        <v>22</v>
      </c>
      <c r="K536" s="2" t="s">
        <v>23</v>
      </c>
      <c r="L536" s="6" t="s">
        <v>24</v>
      </c>
      <c r="M536" s="8" t="s">
        <v>1464</v>
      </c>
      <c r="N536" s="2" t="s">
        <v>22</v>
      </c>
      <c r="O536" s="6" t="s">
        <v>26</v>
      </c>
      <c r="P536" s="8" t="s">
        <v>27</v>
      </c>
      <c r="Q536" s="8" t="s">
        <v>1469</v>
      </c>
    </row>
    <row r="537" customFormat="false" ht="23.85" hidden="false" customHeight="false" outlineLevel="0" collapsed="false">
      <c r="A537" s="2" t="s">
        <v>1458</v>
      </c>
      <c r="B537" s="2" t="s">
        <v>1470</v>
      </c>
      <c r="C537" s="3" t="n">
        <v>36.25</v>
      </c>
      <c r="D537" s="3" t="n">
        <v>-83.9</v>
      </c>
      <c r="E537" s="4" t="s">
        <v>19</v>
      </c>
      <c r="F537" s="5" t="n">
        <v>1020</v>
      </c>
      <c r="G537" s="6" t="s">
        <v>20</v>
      </c>
      <c r="H537" s="4" t="s">
        <v>19</v>
      </c>
      <c r="I537" s="7" t="s">
        <v>21</v>
      </c>
      <c r="J537" s="2" t="s">
        <v>22</v>
      </c>
      <c r="K537" s="2" t="s">
        <v>23</v>
      </c>
      <c r="L537" s="6" t="s">
        <v>24</v>
      </c>
      <c r="M537" s="8" t="s">
        <v>1464</v>
      </c>
      <c r="N537" s="2" t="s">
        <v>22</v>
      </c>
      <c r="O537" s="6" t="s">
        <v>26</v>
      </c>
      <c r="P537" s="8" t="s">
        <v>27</v>
      </c>
      <c r="Q537" s="8" t="s">
        <v>1471</v>
      </c>
    </row>
    <row r="538" customFormat="false" ht="23.85" hidden="false" customHeight="false" outlineLevel="0" collapsed="false">
      <c r="A538" s="2" t="s">
        <v>1458</v>
      </c>
      <c r="B538" s="2" t="s">
        <v>618</v>
      </c>
      <c r="C538" s="3" t="n">
        <v>36.55</v>
      </c>
      <c r="D538" s="3" t="n">
        <v>-85.3</v>
      </c>
      <c r="E538" s="4" t="s">
        <v>19</v>
      </c>
      <c r="F538" s="5" t="n">
        <v>651</v>
      </c>
      <c r="G538" s="6" t="s">
        <v>20</v>
      </c>
      <c r="H538" s="4" t="s">
        <v>19</v>
      </c>
      <c r="I538" s="7" t="s">
        <v>21</v>
      </c>
      <c r="J538" s="2" t="s">
        <v>22</v>
      </c>
      <c r="K538" s="2" t="s">
        <v>619</v>
      </c>
      <c r="L538" s="6" t="s">
        <v>24</v>
      </c>
      <c r="M538" s="8" t="s">
        <v>1472</v>
      </c>
      <c r="N538" s="2" t="s">
        <v>22</v>
      </c>
      <c r="O538" s="6" t="s">
        <v>26</v>
      </c>
      <c r="P538" s="8" t="s">
        <v>27</v>
      </c>
      <c r="Q538" s="8" t="s">
        <v>1473</v>
      </c>
    </row>
    <row r="539" customFormat="false" ht="23.85" hidden="false" customHeight="false" outlineLevel="0" collapsed="false">
      <c r="A539" s="2" t="s">
        <v>1458</v>
      </c>
      <c r="B539" s="2" t="s">
        <v>1474</v>
      </c>
      <c r="C539" s="3" t="n">
        <v>36</v>
      </c>
      <c r="D539" s="3" t="n">
        <v>-85.82</v>
      </c>
      <c r="E539" s="4" t="s">
        <v>19</v>
      </c>
      <c r="F539" s="5" t="n">
        <v>648</v>
      </c>
      <c r="G539" s="6" t="s">
        <v>20</v>
      </c>
      <c r="H539" s="4" t="s">
        <v>19</v>
      </c>
      <c r="I539" s="7" t="s">
        <v>21</v>
      </c>
      <c r="J539" s="2" t="s">
        <v>22</v>
      </c>
      <c r="K539" s="2" t="s">
        <v>619</v>
      </c>
      <c r="L539" s="6" t="s">
        <v>24</v>
      </c>
      <c r="M539" s="8" t="s">
        <v>1472</v>
      </c>
      <c r="N539" s="2" t="s">
        <v>22</v>
      </c>
      <c r="O539" s="6" t="s">
        <v>26</v>
      </c>
      <c r="P539" s="8" t="s">
        <v>27</v>
      </c>
      <c r="Q539" s="8" t="s">
        <v>1475</v>
      </c>
    </row>
    <row r="540" customFormat="false" ht="23.85" hidden="false" customHeight="false" outlineLevel="0" collapsed="false">
      <c r="A540" s="2" t="s">
        <v>1458</v>
      </c>
      <c r="B540" s="2" t="s">
        <v>1476</v>
      </c>
      <c r="C540" s="3" t="n">
        <v>35.4</v>
      </c>
      <c r="D540" s="3" t="n">
        <v>-85.05</v>
      </c>
      <c r="E540" s="4" t="s">
        <v>19</v>
      </c>
      <c r="F540" s="5" t="n">
        <v>682.5</v>
      </c>
      <c r="G540" s="6" t="s">
        <v>20</v>
      </c>
      <c r="H540" s="4" t="s">
        <v>19</v>
      </c>
      <c r="I540" s="7" t="s">
        <v>21</v>
      </c>
      <c r="J540" s="2" t="s">
        <v>22</v>
      </c>
      <c r="K540" s="2" t="s">
        <v>23</v>
      </c>
      <c r="L540" s="6" t="s">
        <v>24</v>
      </c>
      <c r="M540" s="8" t="s">
        <v>1464</v>
      </c>
      <c r="N540" s="2" t="s">
        <v>22</v>
      </c>
      <c r="O540" s="6" t="s">
        <v>26</v>
      </c>
      <c r="P540" s="8" t="s">
        <v>27</v>
      </c>
      <c r="Q540" s="8" t="s">
        <v>1477</v>
      </c>
    </row>
    <row r="541" customFormat="false" ht="23.85" hidden="false" customHeight="false" outlineLevel="0" collapsed="false">
      <c r="A541" s="2" t="s">
        <v>1458</v>
      </c>
      <c r="B541" s="2" t="s">
        <v>1478</v>
      </c>
      <c r="C541" s="3" t="n">
        <v>36.28</v>
      </c>
      <c r="D541" s="3" t="n">
        <v>-86.62</v>
      </c>
      <c r="E541" s="4" t="s">
        <v>19</v>
      </c>
      <c r="F541" s="5" t="n">
        <v>445</v>
      </c>
      <c r="G541" s="6" t="s">
        <v>20</v>
      </c>
      <c r="H541" s="4" t="s">
        <v>19</v>
      </c>
      <c r="I541" s="7" t="s">
        <v>21</v>
      </c>
      <c r="J541" s="2" t="s">
        <v>22</v>
      </c>
      <c r="K541" s="2" t="s">
        <v>619</v>
      </c>
      <c r="L541" s="6" t="s">
        <v>24</v>
      </c>
      <c r="M541" s="8" t="s">
        <v>1472</v>
      </c>
      <c r="N541" s="2" t="s">
        <v>22</v>
      </c>
      <c r="O541" s="6" t="s">
        <v>26</v>
      </c>
      <c r="P541" s="8" t="s">
        <v>27</v>
      </c>
      <c r="Q541" s="8" t="s">
        <v>1479</v>
      </c>
    </row>
    <row r="542" customFormat="false" ht="23.85" hidden="false" customHeight="false" outlineLevel="0" collapsed="false">
      <c r="A542" s="2" t="s">
        <v>1458</v>
      </c>
      <c r="B542" s="2" t="s">
        <v>1480</v>
      </c>
      <c r="C542" s="3" t="n">
        <v>36.1</v>
      </c>
      <c r="D542" s="3" t="n">
        <v>-86.6</v>
      </c>
      <c r="E542" s="4" t="s">
        <v>19</v>
      </c>
      <c r="F542" s="5" t="n">
        <v>490</v>
      </c>
      <c r="G542" s="6" t="s">
        <v>20</v>
      </c>
      <c r="H542" s="4" t="s">
        <v>19</v>
      </c>
      <c r="I542" s="7" t="s">
        <v>21</v>
      </c>
      <c r="J542" s="2" t="s">
        <v>22</v>
      </c>
      <c r="K542" s="2" t="s">
        <v>619</v>
      </c>
      <c r="L542" s="6" t="s">
        <v>24</v>
      </c>
      <c r="M542" s="8" t="s">
        <v>1472</v>
      </c>
      <c r="N542" s="2" t="s">
        <v>22</v>
      </c>
      <c r="O542" s="6" t="s">
        <v>26</v>
      </c>
      <c r="P542" s="8" t="s">
        <v>27</v>
      </c>
      <c r="Q542" s="8" t="s">
        <v>1481</v>
      </c>
    </row>
    <row r="543" customFormat="false" ht="23.85" hidden="false" customHeight="false" outlineLevel="0" collapsed="false">
      <c r="A543" s="2" t="s">
        <v>1458</v>
      </c>
      <c r="B543" s="2" t="s">
        <v>1482</v>
      </c>
      <c r="C543" s="3" t="n">
        <v>35.22</v>
      </c>
      <c r="D543" s="3" t="n">
        <v>-86.25</v>
      </c>
      <c r="E543" s="4" t="s">
        <v>19</v>
      </c>
      <c r="F543" s="5" t="n">
        <v>888</v>
      </c>
      <c r="G543" s="6" t="s">
        <v>20</v>
      </c>
      <c r="H543" s="4" t="s">
        <v>19</v>
      </c>
      <c r="I543" s="7" t="s">
        <v>21</v>
      </c>
      <c r="J543" s="2" t="s">
        <v>22</v>
      </c>
      <c r="K543" s="2" t="s">
        <v>23</v>
      </c>
      <c r="L543" s="6" t="s">
        <v>24</v>
      </c>
      <c r="M543" s="8" t="s">
        <v>1464</v>
      </c>
      <c r="N543" s="2" t="s">
        <v>22</v>
      </c>
      <c r="O543" s="6" t="s">
        <v>26</v>
      </c>
      <c r="P543" s="8" t="s">
        <v>27</v>
      </c>
      <c r="Q543" s="8" t="s">
        <v>1483</v>
      </c>
    </row>
    <row r="544" customFormat="false" ht="23.85" hidden="false" customHeight="false" outlineLevel="0" collapsed="false">
      <c r="A544" s="2" t="s">
        <v>1458</v>
      </c>
      <c r="B544" s="2" t="s">
        <v>1484</v>
      </c>
      <c r="C544" s="3" t="n">
        <v>35.85</v>
      </c>
      <c r="D544" s="3" t="n">
        <v>-84.15</v>
      </c>
      <c r="E544" s="4" t="s">
        <v>19</v>
      </c>
      <c r="F544" s="5" t="n">
        <v>813</v>
      </c>
      <c r="G544" s="6" t="s">
        <v>20</v>
      </c>
      <c r="H544" s="4" t="s">
        <v>19</v>
      </c>
      <c r="I544" s="7" t="s">
        <v>21</v>
      </c>
      <c r="J544" s="2" t="s">
        <v>22</v>
      </c>
      <c r="K544" s="2" t="s">
        <v>23</v>
      </c>
      <c r="L544" s="6" t="s">
        <v>24</v>
      </c>
      <c r="M544" s="8" t="s">
        <v>1464</v>
      </c>
      <c r="N544" s="2" t="s">
        <v>22</v>
      </c>
      <c r="O544" s="6" t="s">
        <v>26</v>
      </c>
      <c r="P544" s="8" t="s">
        <v>27</v>
      </c>
      <c r="Q544" s="8" t="s">
        <v>1485</v>
      </c>
    </row>
    <row r="545" customFormat="false" ht="23.85" hidden="false" customHeight="false" outlineLevel="0" collapsed="false">
      <c r="A545" s="2" t="s">
        <v>1458</v>
      </c>
      <c r="B545" s="2" t="s">
        <v>880</v>
      </c>
      <c r="C545" s="3" t="n">
        <v>35.05</v>
      </c>
      <c r="D545" s="3" t="n">
        <v>-88.2</v>
      </c>
      <c r="E545" s="4" t="s">
        <v>19</v>
      </c>
      <c r="F545" s="5" t="n">
        <v>414</v>
      </c>
      <c r="G545" s="6" t="s">
        <v>20</v>
      </c>
      <c r="H545" s="4" t="s">
        <v>19</v>
      </c>
      <c r="I545" s="7" t="s">
        <v>21</v>
      </c>
      <c r="J545" s="2" t="s">
        <v>22</v>
      </c>
      <c r="K545" s="2" t="s">
        <v>23</v>
      </c>
      <c r="L545" s="6" t="s">
        <v>24</v>
      </c>
      <c r="M545" s="8" t="s">
        <v>1464</v>
      </c>
      <c r="N545" s="2" t="s">
        <v>22</v>
      </c>
      <c r="O545" s="6" t="s">
        <v>26</v>
      </c>
      <c r="P545" s="8" t="s">
        <v>27</v>
      </c>
      <c r="Q545" s="8" t="s">
        <v>1486</v>
      </c>
    </row>
    <row r="546" customFormat="false" ht="23.85" hidden="false" customHeight="false" outlineLevel="0" collapsed="false">
      <c r="A546" s="2" t="s">
        <v>1487</v>
      </c>
      <c r="B546" s="2" t="s">
        <v>651</v>
      </c>
      <c r="C546" s="3" t="n">
        <v>31.35</v>
      </c>
      <c r="D546" s="3" t="n">
        <v>-93.75</v>
      </c>
      <c r="E546" s="4" t="s">
        <v>19</v>
      </c>
      <c r="F546" s="5" t="n">
        <v>172</v>
      </c>
      <c r="G546" s="6" t="s">
        <v>20</v>
      </c>
      <c r="H546" s="4" t="s">
        <v>19</v>
      </c>
      <c r="I546" s="7" t="s">
        <v>21</v>
      </c>
      <c r="J546" s="2" t="s">
        <v>22</v>
      </c>
      <c r="K546" s="2" t="s">
        <v>1488</v>
      </c>
      <c r="L546" s="6" t="s">
        <v>24</v>
      </c>
      <c r="M546" s="8" t="s">
        <v>1489</v>
      </c>
      <c r="N546" s="2" t="s">
        <v>22</v>
      </c>
      <c r="O546" s="6" t="s">
        <v>26</v>
      </c>
      <c r="P546" s="8" t="s">
        <v>27</v>
      </c>
      <c r="Q546" s="8" t="s">
        <v>1490</v>
      </c>
    </row>
    <row r="547" customFormat="false" ht="23.85" hidden="false" customHeight="false" outlineLevel="0" collapsed="false">
      <c r="A547" s="2" t="s">
        <v>1487</v>
      </c>
      <c r="B547" s="2" t="s">
        <v>1491</v>
      </c>
      <c r="C547" s="3" t="n">
        <v>31.1</v>
      </c>
      <c r="D547" s="3" t="n">
        <v>-94.1</v>
      </c>
      <c r="E547" s="4" t="s">
        <v>19</v>
      </c>
      <c r="F547" s="5" t="n">
        <v>164</v>
      </c>
      <c r="G547" s="6" t="s">
        <v>20</v>
      </c>
      <c r="H547" s="4" t="s">
        <v>19</v>
      </c>
      <c r="I547" s="7" t="s">
        <v>21</v>
      </c>
      <c r="J547" s="2" t="s">
        <v>22</v>
      </c>
      <c r="K547" s="2" t="s">
        <v>1492</v>
      </c>
      <c r="L547" s="6" t="s">
        <v>24</v>
      </c>
      <c r="M547" s="8" t="s">
        <v>1493</v>
      </c>
      <c r="N547" s="2" t="s">
        <v>22</v>
      </c>
      <c r="O547" s="6" t="s">
        <v>26</v>
      </c>
      <c r="P547" s="8" t="s">
        <v>27</v>
      </c>
      <c r="Q547" s="8" t="s">
        <v>1494</v>
      </c>
    </row>
    <row r="548" customFormat="false" ht="23.85" hidden="false" customHeight="false" outlineLevel="0" collapsed="false">
      <c r="A548" s="2" t="s">
        <v>1487</v>
      </c>
      <c r="B548" s="2" t="s">
        <v>1495</v>
      </c>
      <c r="C548" s="3" t="n">
        <v>30.75</v>
      </c>
      <c r="D548" s="3" t="n">
        <v>-95.1</v>
      </c>
      <c r="E548" s="4" t="s">
        <v>19</v>
      </c>
      <c r="F548" s="5" t="n">
        <v>131</v>
      </c>
      <c r="G548" s="6" t="s">
        <v>20</v>
      </c>
      <c r="H548" s="4" t="s">
        <v>19</v>
      </c>
      <c r="I548" s="7" t="s">
        <v>21</v>
      </c>
      <c r="J548" s="2" t="s">
        <v>22</v>
      </c>
      <c r="K548" s="2" t="s">
        <v>1496</v>
      </c>
      <c r="L548" s="6" t="s">
        <v>24</v>
      </c>
      <c r="M548" s="8" t="s">
        <v>1497</v>
      </c>
      <c r="N548" s="2" t="s">
        <v>22</v>
      </c>
      <c r="O548" s="6" t="s">
        <v>26</v>
      </c>
      <c r="P548" s="8" t="s">
        <v>27</v>
      </c>
      <c r="Q548" s="8" t="s">
        <v>1498</v>
      </c>
    </row>
    <row r="549" customFormat="false" ht="23.85" hidden="false" customHeight="false" outlineLevel="0" collapsed="false">
      <c r="A549" s="2" t="s">
        <v>1487</v>
      </c>
      <c r="B549" s="2" t="s">
        <v>1499</v>
      </c>
      <c r="C549" s="3" t="n">
        <v>26.75</v>
      </c>
      <c r="D549" s="3" t="n">
        <v>-99.25</v>
      </c>
      <c r="E549" s="4" t="s">
        <v>19</v>
      </c>
      <c r="F549" s="5" t="n">
        <v>301.1</v>
      </c>
      <c r="G549" s="6" t="s">
        <v>20</v>
      </c>
      <c r="H549" s="4" t="s">
        <v>19</v>
      </c>
      <c r="I549" s="7" t="s">
        <v>21</v>
      </c>
      <c r="J549" s="2" t="s">
        <v>22</v>
      </c>
      <c r="K549" s="2" t="s">
        <v>1500</v>
      </c>
      <c r="L549" s="6" t="s">
        <v>24</v>
      </c>
      <c r="M549" s="8" t="s">
        <v>1501</v>
      </c>
      <c r="N549" s="2" t="s">
        <v>22</v>
      </c>
      <c r="O549" s="6" t="s">
        <v>26</v>
      </c>
      <c r="P549" s="8" t="s">
        <v>27</v>
      </c>
      <c r="Q549" s="8" t="s">
        <v>1502</v>
      </c>
    </row>
    <row r="550" customFormat="false" ht="23.85" hidden="false" customHeight="false" outlineLevel="0" collapsed="false">
      <c r="A550" s="2" t="s">
        <v>1487</v>
      </c>
      <c r="B550" s="2" t="s">
        <v>1280</v>
      </c>
      <c r="C550" s="3" t="n">
        <v>33.9</v>
      </c>
      <c r="D550" s="3" t="n">
        <v>-96.6</v>
      </c>
      <c r="E550" s="4" t="s">
        <v>19</v>
      </c>
      <c r="F550" s="5" t="n">
        <v>617</v>
      </c>
      <c r="G550" s="6" t="s">
        <v>20</v>
      </c>
      <c r="H550" s="4" t="s">
        <v>19</v>
      </c>
      <c r="I550" s="7" t="s">
        <v>21</v>
      </c>
      <c r="J550" s="2" t="s">
        <v>22</v>
      </c>
      <c r="K550" s="2" t="s">
        <v>1277</v>
      </c>
      <c r="L550" s="6" t="s">
        <v>24</v>
      </c>
      <c r="M550" s="8" t="s">
        <v>1503</v>
      </c>
      <c r="N550" s="2" t="s">
        <v>22</v>
      </c>
      <c r="O550" s="6" t="s">
        <v>26</v>
      </c>
      <c r="P550" s="8" t="s">
        <v>27</v>
      </c>
      <c r="Q550" s="8" t="s">
        <v>1504</v>
      </c>
    </row>
    <row r="551" customFormat="false" ht="23.85" hidden="false" customHeight="false" outlineLevel="0" collapsed="false">
      <c r="A551" s="2" t="s">
        <v>1487</v>
      </c>
      <c r="B551" s="2" t="s">
        <v>1505</v>
      </c>
      <c r="C551" s="3" t="n">
        <v>29.5</v>
      </c>
      <c r="D551" s="3" t="n">
        <v>-101.15</v>
      </c>
      <c r="E551" s="4" t="s">
        <v>19</v>
      </c>
      <c r="F551" s="5" t="n">
        <v>1117</v>
      </c>
      <c r="G551" s="6" t="s">
        <v>20</v>
      </c>
      <c r="H551" s="4" t="s">
        <v>19</v>
      </c>
      <c r="I551" s="7" t="s">
        <v>21</v>
      </c>
      <c r="J551" s="2" t="s">
        <v>22</v>
      </c>
      <c r="K551" s="2" t="s">
        <v>1500</v>
      </c>
      <c r="L551" s="6" t="s">
        <v>24</v>
      </c>
      <c r="M551" s="8" t="s">
        <v>1501</v>
      </c>
      <c r="N551" s="2" t="s">
        <v>22</v>
      </c>
      <c r="O551" s="6" t="s">
        <v>26</v>
      </c>
      <c r="P551" s="8" t="s">
        <v>27</v>
      </c>
      <c r="Q551" s="8" t="s">
        <v>1502</v>
      </c>
    </row>
    <row r="552" customFormat="false" ht="23.85" hidden="false" customHeight="false" outlineLevel="0" collapsed="false">
      <c r="A552" s="2" t="s">
        <v>1487</v>
      </c>
      <c r="B552" s="2" t="s">
        <v>655</v>
      </c>
      <c r="C552" s="3" t="n">
        <v>32.72</v>
      </c>
      <c r="D552" s="3" t="n">
        <v>-94.1</v>
      </c>
      <c r="E552" s="4" t="s">
        <v>19</v>
      </c>
      <c r="F552" s="5" t="n">
        <v>168.5</v>
      </c>
      <c r="G552" s="6" t="s">
        <v>20</v>
      </c>
      <c r="H552" s="10" t="s">
        <v>49</v>
      </c>
      <c r="I552" s="13" t="s">
        <v>69</v>
      </c>
      <c r="J552" s="2" t="s">
        <v>70</v>
      </c>
      <c r="K552" s="2" t="s">
        <v>1506</v>
      </c>
      <c r="L552" s="9" t="s">
        <v>36</v>
      </c>
      <c r="M552" s="8" t="s">
        <v>1507</v>
      </c>
      <c r="N552" s="2" t="s">
        <v>22</v>
      </c>
      <c r="O552" s="6" t="s">
        <v>26</v>
      </c>
      <c r="P552" s="8" t="s">
        <v>27</v>
      </c>
      <c r="Q552" s="8" t="s">
        <v>1508</v>
      </c>
    </row>
    <row r="553" customFormat="false" ht="23.85" hidden="false" customHeight="false" outlineLevel="0" collapsed="false">
      <c r="A553" s="2" t="s">
        <v>1487</v>
      </c>
      <c r="B553" s="2" t="s">
        <v>1509</v>
      </c>
      <c r="C553" s="3" t="n">
        <v>32.83</v>
      </c>
      <c r="D553" s="3" t="n">
        <v>-95.55</v>
      </c>
      <c r="E553" s="4" t="s">
        <v>19</v>
      </c>
      <c r="F553" s="5" t="n">
        <v>403</v>
      </c>
      <c r="G553" s="6" t="s">
        <v>20</v>
      </c>
      <c r="H553" s="4" t="s">
        <v>19</v>
      </c>
      <c r="I553" s="7" t="s">
        <v>21</v>
      </c>
      <c r="J553" s="2" t="s">
        <v>22</v>
      </c>
      <c r="K553" s="2" t="s">
        <v>1510</v>
      </c>
      <c r="L553" s="6" t="s">
        <v>24</v>
      </c>
      <c r="M553" s="8" t="s">
        <v>1511</v>
      </c>
      <c r="N553" s="2" t="s">
        <v>22</v>
      </c>
      <c r="O553" s="6" t="s">
        <v>26</v>
      </c>
      <c r="P553" s="8" t="s">
        <v>27</v>
      </c>
      <c r="Q553" s="8" t="s">
        <v>1512</v>
      </c>
    </row>
    <row r="554" customFormat="false" ht="23.85" hidden="false" customHeight="false" outlineLevel="0" collapsed="false">
      <c r="A554" s="2" t="s">
        <v>1487</v>
      </c>
      <c r="B554" s="2" t="s">
        <v>1513</v>
      </c>
      <c r="C554" s="3" t="n">
        <v>30.42</v>
      </c>
      <c r="D554" s="3" t="n">
        <v>-97.92</v>
      </c>
      <c r="E554" s="4" t="s">
        <v>19</v>
      </c>
      <c r="F554" s="5" t="n">
        <v>681</v>
      </c>
      <c r="G554" s="6" t="s">
        <v>20</v>
      </c>
      <c r="H554" s="4" t="s">
        <v>19</v>
      </c>
      <c r="I554" s="7" t="s">
        <v>21</v>
      </c>
      <c r="J554" s="2" t="s">
        <v>22</v>
      </c>
      <c r="K554" s="2" t="s">
        <v>1514</v>
      </c>
      <c r="L554" s="6" t="s">
        <v>24</v>
      </c>
      <c r="M554" s="8" t="s">
        <v>1515</v>
      </c>
      <c r="N554" s="2" t="s">
        <v>22</v>
      </c>
      <c r="O554" s="6" t="s">
        <v>26</v>
      </c>
      <c r="P554" s="8" t="s">
        <v>27</v>
      </c>
      <c r="Q554" s="8" t="s">
        <v>1516</v>
      </c>
    </row>
    <row r="555" customFormat="false" ht="23.85" hidden="false" customHeight="false" outlineLevel="0" collapsed="false">
      <c r="A555" s="2" t="s">
        <v>1487</v>
      </c>
      <c r="B555" s="2" t="s">
        <v>1517</v>
      </c>
      <c r="C555" s="3" t="n">
        <v>30.8</v>
      </c>
      <c r="D555" s="3" t="n">
        <v>-98.42</v>
      </c>
      <c r="E555" s="4" t="s">
        <v>19</v>
      </c>
      <c r="F555" s="5" t="n">
        <v>1020.5</v>
      </c>
      <c r="G555" s="6" t="s">
        <v>20</v>
      </c>
      <c r="H555" s="4" t="s">
        <v>19</v>
      </c>
      <c r="I555" s="7" t="s">
        <v>21</v>
      </c>
      <c r="J555" s="2" t="s">
        <v>22</v>
      </c>
      <c r="K555" s="2" t="s">
        <v>1514</v>
      </c>
      <c r="L555" s="6" t="s">
        <v>24</v>
      </c>
      <c r="M555" s="8" t="s">
        <v>1518</v>
      </c>
      <c r="N555" s="2" t="s">
        <v>22</v>
      </c>
      <c r="O555" s="6" t="s">
        <v>26</v>
      </c>
      <c r="P555" s="8" t="s">
        <v>27</v>
      </c>
      <c r="Q555" s="8" t="s">
        <v>1519</v>
      </c>
    </row>
    <row r="556" customFormat="false" ht="23.85" hidden="false" customHeight="false" outlineLevel="0" collapsed="false">
      <c r="A556" s="2" t="s">
        <v>1487</v>
      </c>
      <c r="B556" s="2" t="s">
        <v>1520</v>
      </c>
      <c r="C556" s="3" t="n">
        <v>29.87</v>
      </c>
      <c r="D556" s="3" t="n">
        <v>-98.25</v>
      </c>
      <c r="E556" s="4" t="s">
        <v>19</v>
      </c>
      <c r="F556" s="5" t="n">
        <v>909</v>
      </c>
      <c r="G556" s="6" t="s">
        <v>20</v>
      </c>
      <c r="H556" s="4" t="s">
        <v>19</v>
      </c>
      <c r="I556" s="7" t="s">
        <v>21</v>
      </c>
      <c r="J556" s="2" t="s">
        <v>22</v>
      </c>
      <c r="K556" s="2" t="s">
        <v>1521</v>
      </c>
      <c r="L556" s="6" t="s">
        <v>24</v>
      </c>
      <c r="M556" s="8" t="s">
        <v>1493</v>
      </c>
      <c r="N556" s="2" t="s">
        <v>22</v>
      </c>
      <c r="O556" s="6" t="s">
        <v>26</v>
      </c>
      <c r="P556" s="8" t="s">
        <v>27</v>
      </c>
      <c r="Q556" s="8" t="s">
        <v>1522</v>
      </c>
    </row>
    <row r="557" customFormat="false" ht="23.85" hidden="false" customHeight="false" outlineLevel="0" collapsed="false">
      <c r="A557" s="2" t="s">
        <v>1487</v>
      </c>
      <c r="B557" s="2" t="s">
        <v>1523</v>
      </c>
      <c r="C557" s="3" t="n">
        <v>30.42</v>
      </c>
      <c r="D557" s="3" t="n">
        <v>-95.6</v>
      </c>
      <c r="E557" s="4" t="s">
        <v>19</v>
      </c>
      <c r="F557" s="5" t="n">
        <v>201</v>
      </c>
      <c r="G557" s="6" t="s">
        <v>20</v>
      </c>
      <c r="H557" s="4" t="s">
        <v>19</v>
      </c>
      <c r="I557" s="7" t="s">
        <v>21</v>
      </c>
      <c r="J557" s="2" t="s">
        <v>22</v>
      </c>
      <c r="K557" s="2" t="s">
        <v>1524</v>
      </c>
      <c r="L557" s="6" t="s">
        <v>24</v>
      </c>
      <c r="M557" s="8" t="s">
        <v>1525</v>
      </c>
      <c r="N557" s="2" t="s">
        <v>22</v>
      </c>
      <c r="O557" s="6" t="s">
        <v>26</v>
      </c>
      <c r="P557" s="8" t="s">
        <v>27</v>
      </c>
      <c r="Q557" s="8" t="s">
        <v>1526</v>
      </c>
    </row>
    <row r="558" customFormat="false" ht="23.85" hidden="false" customHeight="false" outlineLevel="0" collapsed="false">
      <c r="A558" s="2" t="s">
        <v>1487</v>
      </c>
      <c r="B558" s="2" t="s">
        <v>1527</v>
      </c>
      <c r="C558" s="3" t="n">
        <v>32.18</v>
      </c>
      <c r="D558" s="3" t="n">
        <v>-96.07</v>
      </c>
      <c r="E558" s="4" t="s">
        <v>19</v>
      </c>
      <c r="F558" s="5" t="n">
        <v>322</v>
      </c>
      <c r="G558" s="6" t="s">
        <v>20</v>
      </c>
      <c r="H558" s="4" t="s">
        <v>19</v>
      </c>
      <c r="I558" s="7" t="s">
        <v>21</v>
      </c>
      <c r="J558" s="2" t="s">
        <v>22</v>
      </c>
      <c r="K558" s="2" t="s">
        <v>1528</v>
      </c>
      <c r="L558" s="6" t="s">
        <v>24</v>
      </c>
      <c r="M558" s="8" t="s">
        <v>1529</v>
      </c>
      <c r="N558" s="2" t="s">
        <v>22</v>
      </c>
      <c r="O558" s="6" t="s">
        <v>26</v>
      </c>
      <c r="P558" s="8" t="s">
        <v>27</v>
      </c>
      <c r="Q558" s="8" t="s">
        <v>1530</v>
      </c>
    </row>
    <row r="559" customFormat="false" ht="23.85" hidden="false" customHeight="false" outlineLevel="0" collapsed="false">
      <c r="A559" s="2" t="s">
        <v>1487</v>
      </c>
      <c r="B559" s="2" t="s">
        <v>1531</v>
      </c>
      <c r="C559" s="3" t="n">
        <v>32.88</v>
      </c>
      <c r="D559" s="3" t="n">
        <v>-95.95</v>
      </c>
      <c r="E559" s="4" t="s">
        <v>19</v>
      </c>
      <c r="F559" s="5" t="n">
        <v>437.5</v>
      </c>
      <c r="G559" s="6" t="s">
        <v>20</v>
      </c>
      <c r="H559" s="4" t="s">
        <v>19</v>
      </c>
      <c r="I559" s="7" t="s">
        <v>21</v>
      </c>
      <c r="J559" s="2" t="s">
        <v>22</v>
      </c>
      <c r="K559" s="2" t="s">
        <v>1510</v>
      </c>
      <c r="L559" s="6" t="s">
        <v>24</v>
      </c>
      <c r="M559" s="8" t="s">
        <v>1511</v>
      </c>
      <c r="N559" s="2" t="s">
        <v>22</v>
      </c>
      <c r="O559" s="15" t="s">
        <v>104</v>
      </c>
      <c r="P559" s="8" t="s">
        <v>105</v>
      </c>
      <c r="Q559" s="8" t="s">
        <v>1532</v>
      </c>
    </row>
    <row r="560" customFormat="false" ht="23.85" hidden="false" customHeight="false" outlineLevel="0" collapsed="false">
      <c r="A560" s="2" t="s">
        <v>1487</v>
      </c>
      <c r="B560" s="2" t="s">
        <v>1533</v>
      </c>
      <c r="C560" s="3" t="n">
        <v>32.87</v>
      </c>
      <c r="D560" s="3" t="n">
        <v>-98.55</v>
      </c>
      <c r="E560" s="4" t="s">
        <v>19</v>
      </c>
      <c r="F560" s="5" t="n">
        <v>1000</v>
      </c>
      <c r="G560" s="6" t="s">
        <v>20</v>
      </c>
      <c r="H560" s="4" t="s">
        <v>19</v>
      </c>
      <c r="I560" s="7" t="s">
        <v>21</v>
      </c>
      <c r="J560" s="2" t="s">
        <v>22</v>
      </c>
      <c r="K560" s="2" t="s">
        <v>1534</v>
      </c>
      <c r="L560" s="6" t="s">
        <v>24</v>
      </c>
      <c r="M560" s="8" t="s">
        <v>1535</v>
      </c>
      <c r="N560" s="2" t="s">
        <v>22</v>
      </c>
      <c r="O560" s="6" t="s">
        <v>26</v>
      </c>
      <c r="P560" s="8" t="s">
        <v>27</v>
      </c>
      <c r="Q560" s="8" t="s">
        <v>1536</v>
      </c>
    </row>
    <row r="561" customFormat="false" ht="23.85" hidden="false" customHeight="false" outlineLevel="0" collapsed="false">
      <c r="A561" s="2" t="s">
        <v>1537</v>
      </c>
      <c r="B561" s="2" t="s">
        <v>1538</v>
      </c>
      <c r="C561" s="3" t="n">
        <v>41.1</v>
      </c>
      <c r="D561" s="3" t="n">
        <v>-112.55</v>
      </c>
      <c r="E561" s="4" t="s">
        <v>19</v>
      </c>
      <c r="F561" s="5" t="n">
        <v>4200</v>
      </c>
      <c r="G561" s="11" t="s">
        <v>67</v>
      </c>
      <c r="H561" s="10" t="s">
        <v>49</v>
      </c>
      <c r="I561" s="13" t="s">
        <v>69</v>
      </c>
      <c r="J561" s="2" t="s">
        <v>70</v>
      </c>
      <c r="K561" s="2" t="s">
        <v>1539</v>
      </c>
      <c r="L561" s="9" t="s">
        <v>36</v>
      </c>
      <c r="M561" s="8" t="s">
        <v>176</v>
      </c>
      <c r="N561" s="2" t="s">
        <v>22</v>
      </c>
      <c r="O561" s="6" t="s">
        <v>26</v>
      </c>
      <c r="P561" s="8" t="s">
        <v>27</v>
      </c>
      <c r="Q561" s="8" t="s">
        <v>1018</v>
      </c>
    </row>
    <row r="562" customFormat="false" ht="23.85" hidden="false" customHeight="false" outlineLevel="0" collapsed="false">
      <c r="A562" s="2" t="s">
        <v>1537</v>
      </c>
      <c r="B562" s="2" t="s">
        <v>1540</v>
      </c>
      <c r="C562" s="3" t="n">
        <v>37</v>
      </c>
      <c r="D562" s="3" t="n">
        <v>-110.9</v>
      </c>
      <c r="E562" s="4" t="s">
        <v>19</v>
      </c>
      <c r="F562" s="5" t="n">
        <v>3700</v>
      </c>
      <c r="G562" s="6" t="s">
        <v>20</v>
      </c>
      <c r="H562" s="4" t="s">
        <v>19</v>
      </c>
      <c r="I562" s="7" t="s">
        <v>21</v>
      </c>
      <c r="J562" s="2" t="s">
        <v>22</v>
      </c>
      <c r="K562" s="2" t="s">
        <v>108</v>
      </c>
      <c r="L562" s="6" t="s">
        <v>24</v>
      </c>
      <c r="M562" s="8" t="s">
        <v>1541</v>
      </c>
      <c r="N562" s="2" t="s">
        <v>22</v>
      </c>
      <c r="O562" s="6" t="s">
        <v>26</v>
      </c>
      <c r="P562" s="8" t="s">
        <v>27</v>
      </c>
      <c r="Q562" s="8" t="s">
        <v>1542</v>
      </c>
    </row>
    <row r="563" customFormat="false" ht="23.85" hidden="false" customHeight="false" outlineLevel="0" collapsed="false">
      <c r="A563" s="2" t="s">
        <v>1537</v>
      </c>
      <c r="B563" s="2" t="s">
        <v>1543</v>
      </c>
      <c r="C563" s="3" t="n">
        <v>40.22</v>
      </c>
      <c r="D563" s="3" t="n">
        <v>-111.8</v>
      </c>
      <c r="E563" s="4" t="s">
        <v>19</v>
      </c>
      <c r="F563" s="5" t="n">
        <v>4489</v>
      </c>
      <c r="G563" s="11" t="s">
        <v>67</v>
      </c>
      <c r="H563" s="10" t="s">
        <v>49</v>
      </c>
      <c r="I563" s="13" t="s">
        <v>69</v>
      </c>
      <c r="J563" s="2" t="s">
        <v>70</v>
      </c>
      <c r="K563" s="2" t="s">
        <v>1544</v>
      </c>
      <c r="L563" s="9" t="s">
        <v>36</v>
      </c>
      <c r="M563" s="8" t="s">
        <v>1545</v>
      </c>
      <c r="N563" s="2" t="s">
        <v>22</v>
      </c>
      <c r="O563" s="6" t="s">
        <v>26</v>
      </c>
      <c r="P563" s="8" t="s">
        <v>27</v>
      </c>
      <c r="Q563" s="8" t="s">
        <v>1546</v>
      </c>
    </row>
    <row r="564" customFormat="false" ht="23.85" hidden="false" customHeight="false" outlineLevel="0" collapsed="false">
      <c r="A564" s="2" t="s">
        <v>1537</v>
      </c>
      <c r="B564" s="2" t="s">
        <v>437</v>
      </c>
      <c r="C564" s="3" t="n">
        <v>41.95</v>
      </c>
      <c r="D564" s="3" t="n">
        <v>-111.3</v>
      </c>
      <c r="E564" s="4" t="s">
        <v>19</v>
      </c>
      <c r="F564" s="5" t="n">
        <v>5923</v>
      </c>
      <c r="G564" s="11" t="s">
        <v>67</v>
      </c>
      <c r="H564" s="10" t="s">
        <v>49</v>
      </c>
      <c r="I564" s="13" t="s">
        <v>69</v>
      </c>
      <c r="J564" s="2" t="s">
        <v>70</v>
      </c>
      <c r="K564" s="2" t="s">
        <v>1547</v>
      </c>
      <c r="L564" s="9" t="s">
        <v>36</v>
      </c>
      <c r="M564" s="8" t="s">
        <v>1548</v>
      </c>
      <c r="N564" s="2" t="s">
        <v>22</v>
      </c>
      <c r="O564" s="6" t="s">
        <v>26</v>
      </c>
      <c r="P564" s="8" t="s">
        <v>27</v>
      </c>
      <c r="Q564" s="8" t="s">
        <v>1549</v>
      </c>
    </row>
    <row r="565" customFormat="false" ht="23.85" hidden="false" customHeight="false" outlineLevel="0" collapsed="false">
      <c r="A565" s="2" t="s">
        <v>1537</v>
      </c>
      <c r="B565" s="2" t="s">
        <v>1550</v>
      </c>
      <c r="C565" s="3" t="n">
        <v>40.92</v>
      </c>
      <c r="D565" s="3" t="n">
        <v>-109.42</v>
      </c>
      <c r="E565" s="4" t="s">
        <v>19</v>
      </c>
      <c r="F565" s="5" t="n">
        <v>6040</v>
      </c>
      <c r="G565" s="6" t="s">
        <v>20</v>
      </c>
      <c r="H565" s="4" t="s">
        <v>19</v>
      </c>
      <c r="I565" s="7" t="s">
        <v>21</v>
      </c>
      <c r="J565" s="2" t="s">
        <v>22</v>
      </c>
      <c r="K565" s="2" t="s">
        <v>589</v>
      </c>
      <c r="L565" s="6" t="s">
        <v>24</v>
      </c>
      <c r="M565" s="8" t="s">
        <v>1551</v>
      </c>
      <c r="N565" s="2" t="s">
        <v>22</v>
      </c>
      <c r="O565" s="6" t="s">
        <v>26</v>
      </c>
      <c r="P565" s="8" t="s">
        <v>27</v>
      </c>
      <c r="Q565" s="8" t="s">
        <v>1552</v>
      </c>
    </row>
    <row r="566" customFormat="false" ht="23.85" hidden="false" customHeight="false" outlineLevel="0" collapsed="false">
      <c r="A566" s="2" t="s">
        <v>1537</v>
      </c>
      <c r="B566" s="2" t="s">
        <v>1553</v>
      </c>
      <c r="C566" s="3" t="n">
        <v>40.15</v>
      </c>
      <c r="D566" s="3" t="n">
        <v>-111.15</v>
      </c>
      <c r="E566" s="4" t="s">
        <v>19</v>
      </c>
      <c r="F566" s="5" t="n">
        <v>7605</v>
      </c>
      <c r="G566" s="6" t="s">
        <v>20</v>
      </c>
      <c r="H566" s="10" t="s">
        <v>49</v>
      </c>
      <c r="I566" s="7" t="s">
        <v>21</v>
      </c>
      <c r="J566" s="2" t="s">
        <v>22</v>
      </c>
      <c r="K566" s="2" t="s">
        <v>1554</v>
      </c>
      <c r="L566" s="6" t="s">
        <v>24</v>
      </c>
      <c r="M566" s="8" t="s">
        <v>1555</v>
      </c>
      <c r="N566" s="2" t="s">
        <v>22</v>
      </c>
      <c r="O566" s="6" t="s">
        <v>26</v>
      </c>
      <c r="P566" s="8" t="s">
        <v>27</v>
      </c>
      <c r="Q566" s="8" t="s">
        <v>1556</v>
      </c>
    </row>
    <row r="567" customFormat="false" ht="23.85" hidden="false" customHeight="false" outlineLevel="0" collapsed="false">
      <c r="A567" s="2" t="s">
        <v>1537</v>
      </c>
      <c r="B567" s="2" t="s">
        <v>1557</v>
      </c>
      <c r="C567" s="3" t="n">
        <v>40.6</v>
      </c>
      <c r="D567" s="3" t="n">
        <v>-111.42</v>
      </c>
      <c r="E567" s="4" t="s">
        <v>19</v>
      </c>
      <c r="F567" s="5" t="n">
        <v>6166</v>
      </c>
      <c r="G567" s="6" t="s">
        <v>20</v>
      </c>
      <c r="H567" s="10" t="s">
        <v>49</v>
      </c>
      <c r="I567" s="7" t="s">
        <v>21</v>
      </c>
      <c r="J567" s="2" t="s">
        <v>22</v>
      </c>
      <c r="K567" s="2" t="s">
        <v>1554</v>
      </c>
      <c r="L567" s="6" t="s">
        <v>24</v>
      </c>
      <c r="M567" s="8" t="s">
        <v>1555</v>
      </c>
      <c r="N567" s="2" t="s">
        <v>22</v>
      </c>
      <c r="O567" s="6" t="s">
        <v>26</v>
      </c>
      <c r="P567" s="8" t="s">
        <v>27</v>
      </c>
      <c r="Q567" s="8" t="s">
        <v>1558</v>
      </c>
    </row>
    <row r="568" customFormat="false" ht="23.85" hidden="false" customHeight="false" outlineLevel="0" collapsed="false">
      <c r="A568" s="2" t="s">
        <v>1537</v>
      </c>
      <c r="B568" s="2" t="s">
        <v>1559</v>
      </c>
      <c r="C568" s="3" t="n">
        <v>40.42</v>
      </c>
      <c r="D568" s="3" t="n">
        <v>-111.5</v>
      </c>
      <c r="E568" s="4" t="s">
        <v>19</v>
      </c>
      <c r="F568" s="5" t="n">
        <v>5417</v>
      </c>
      <c r="G568" s="6" t="s">
        <v>20</v>
      </c>
      <c r="H568" s="10" t="s">
        <v>49</v>
      </c>
      <c r="I568" s="7" t="s">
        <v>21</v>
      </c>
      <c r="J568" s="2" t="s">
        <v>22</v>
      </c>
      <c r="K568" s="2" t="s">
        <v>1560</v>
      </c>
      <c r="L568" s="6" t="s">
        <v>24</v>
      </c>
      <c r="M568" s="8" t="s">
        <v>1555</v>
      </c>
      <c r="N568" s="2" t="s">
        <v>22</v>
      </c>
      <c r="O568" s="6" t="s">
        <v>26</v>
      </c>
      <c r="P568" s="8" t="s">
        <v>27</v>
      </c>
      <c r="Q568" s="8" t="s">
        <v>1558</v>
      </c>
    </row>
    <row r="569" customFormat="false" ht="23.85" hidden="false" customHeight="false" outlineLevel="0" collapsed="false">
      <c r="A569" s="2" t="s">
        <v>1537</v>
      </c>
      <c r="B569" s="2" t="s">
        <v>1561</v>
      </c>
      <c r="C569" s="3" t="n">
        <v>40.18</v>
      </c>
      <c r="D569" s="3" t="n">
        <v>-110.45</v>
      </c>
      <c r="E569" s="4" t="s">
        <v>19</v>
      </c>
      <c r="F569" s="5" t="n">
        <v>5712</v>
      </c>
      <c r="G569" s="6" t="s">
        <v>20</v>
      </c>
      <c r="H569" s="10" t="s">
        <v>49</v>
      </c>
      <c r="I569" s="7" t="s">
        <v>21</v>
      </c>
      <c r="J569" s="2" t="s">
        <v>22</v>
      </c>
      <c r="K569" s="2" t="s">
        <v>1554</v>
      </c>
      <c r="L569" s="6" t="s">
        <v>24</v>
      </c>
      <c r="M569" s="8" t="s">
        <v>1555</v>
      </c>
      <c r="N569" s="2" t="s">
        <v>41</v>
      </c>
      <c r="O569" s="9" t="s">
        <v>42</v>
      </c>
      <c r="P569" s="8" t="s">
        <v>43</v>
      </c>
      <c r="Q569" s="8" t="s">
        <v>1562</v>
      </c>
    </row>
    <row r="570" customFormat="false" ht="23.85" hidden="false" customHeight="false" outlineLevel="0" collapsed="false">
      <c r="A570" s="2" t="s">
        <v>1537</v>
      </c>
      <c r="B570" s="2" t="s">
        <v>1563</v>
      </c>
      <c r="C570" s="3" t="n">
        <v>41.25</v>
      </c>
      <c r="D570" s="3" t="n">
        <v>-111.8</v>
      </c>
      <c r="E570" s="4" t="s">
        <v>19</v>
      </c>
      <c r="F570" s="5" t="n">
        <v>4900</v>
      </c>
      <c r="G570" s="6" t="s">
        <v>20</v>
      </c>
      <c r="H570" s="12" t="s">
        <v>68</v>
      </c>
      <c r="I570" s="7" t="s">
        <v>21</v>
      </c>
      <c r="J570" s="2" t="s">
        <v>22</v>
      </c>
      <c r="K570" s="2" t="s">
        <v>1564</v>
      </c>
      <c r="L570" s="6" t="s">
        <v>24</v>
      </c>
      <c r="M570" s="8" t="s">
        <v>1555</v>
      </c>
      <c r="N570" s="2" t="s">
        <v>22</v>
      </c>
      <c r="O570" s="6" t="s">
        <v>26</v>
      </c>
      <c r="P570" s="8" t="s">
        <v>27</v>
      </c>
      <c r="Q570" s="8" t="s">
        <v>1565</v>
      </c>
    </row>
    <row r="571" customFormat="false" ht="23.85" hidden="false" customHeight="false" outlineLevel="0" collapsed="false">
      <c r="A571" s="2" t="s">
        <v>1537</v>
      </c>
      <c r="B571" s="2" t="s">
        <v>1566</v>
      </c>
      <c r="C571" s="3" t="n">
        <v>38.55</v>
      </c>
      <c r="D571" s="3" t="n">
        <v>-111.7</v>
      </c>
      <c r="E571" s="4" t="s">
        <v>19</v>
      </c>
      <c r="F571" s="5" t="n">
        <v>8843</v>
      </c>
      <c r="G571" s="11" t="s">
        <v>67</v>
      </c>
      <c r="H571" s="10" t="s">
        <v>49</v>
      </c>
      <c r="I571" s="13" t="s">
        <v>69</v>
      </c>
      <c r="J571" s="2" t="s">
        <v>70</v>
      </c>
      <c r="K571" s="2" t="s">
        <v>71</v>
      </c>
      <c r="L571" s="14" t="s">
        <v>72</v>
      </c>
      <c r="M571" s="8" t="s">
        <v>73</v>
      </c>
      <c r="N571" s="2" t="s">
        <v>70</v>
      </c>
      <c r="O571" s="9" t="s">
        <v>42</v>
      </c>
      <c r="P571" s="8" t="s">
        <v>43</v>
      </c>
      <c r="Q571" s="8" t="s">
        <v>1567</v>
      </c>
    </row>
    <row r="572" customFormat="false" ht="23.85" hidden="false" customHeight="false" outlineLevel="0" collapsed="false">
      <c r="A572" s="2" t="s">
        <v>1537</v>
      </c>
      <c r="B572" s="2" t="s">
        <v>1568</v>
      </c>
      <c r="C572" s="3" t="n">
        <v>41.37</v>
      </c>
      <c r="D572" s="3" t="n">
        <v>-112.06</v>
      </c>
      <c r="E572" s="4" t="s">
        <v>19</v>
      </c>
      <c r="F572" s="5" t="n">
        <v>4225</v>
      </c>
      <c r="G572" s="6" t="s">
        <v>20</v>
      </c>
      <c r="H572" s="10" t="s">
        <v>49</v>
      </c>
      <c r="I572" s="7" t="s">
        <v>21</v>
      </c>
      <c r="J572" s="2" t="s">
        <v>22</v>
      </c>
      <c r="K572" s="2" t="s">
        <v>1569</v>
      </c>
      <c r="L572" s="6" t="s">
        <v>24</v>
      </c>
      <c r="M572" s="8" t="s">
        <v>1555</v>
      </c>
      <c r="N572" s="2" t="s">
        <v>41</v>
      </c>
      <c r="O572" s="9" t="s">
        <v>42</v>
      </c>
      <c r="P572" s="8" t="s">
        <v>43</v>
      </c>
      <c r="Q572" s="8" t="s">
        <v>1570</v>
      </c>
    </row>
    <row r="573" customFormat="false" ht="23.85" hidden="false" customHeight="false" outlineLevel="0" collapsed="false">
      <c r="A573" s="2" t="s">
        <v>1537</v>
      </c>
      <c r="B573" s="2" t="s">
        <v>1571</v>
      </c>
      <c r="C573" s="3" t="n">
        <v>38.95</v>
      </c>
      <c r="D573" s="3" t="n">
        <v>-113.15</v>
      </c>
      <c r="E573" s="10" t="s">
        <v>49</v>
      </c>
      <c r="F573" s="5" t="n">
        <v>4519</v>
      </c>
      <c r="G573" s="11" t="s">
        <v>67</v>
      </c>
      <c r="H573" s="12" t="s">
        <v>68</v>
      </c>
      <c r="I573" s="13" t="s">
        <v>69</v>
      </c>
      <c r="J573" s="2" t="s">
        <v>70</v>
      </c>
      <c r="K573" s="2" t="s">
        <v>1572</v>
      </c>
      <c r="L573" s="14" t="s">
        <v>72</v>
      </c>
      <c r="M573" s="8" t="s">
        <v>73</v>
      </c>
      <c r="N573" s="2" t="s">
        <v>70</v>
      </c>
      <c r="O573" s="9" t="s">
        <v>42</v>
      </c>
      <c r="P573" s="8" t="s">
        <v>43</v>
      </c>
      <c r="Q573" s="8" t="s">
        <v>1573</v>
      </c>
    </row>
    <row r="574" customFormat="false" ht="23.85" hidden="false" customHeight="false" outlineLevel="0" collapsed="false">
      <c r="A574" s="2" t="s">
        <v>1574</v>
      </c>
      <c r="B574" s="2" t="s">
        <v>1144</v>
      </c>
      <c r="C574" s="3" t="n">
        <v>44.47</v>
      </c>
      <c r="D574" s="3" t="n">
        <v>-73.3</v>
      </c>
      <c r="E574" s="4" t="s">
        <v>19</v>
      </c>
      <c r="F574" s="5" t="n">
        <v>95.5</v>
      </c>
      <c r="G574" s="11" t="s">
        <v>67</v>
      </c>
      <c r="H574" s="10" t="s">
        <v>49</v>
      </c>
      <c r="I574" s="13" t="s">
        <v>69</v>
      </c>
      <c r="J574" s="2" t="s">
        <v>70</v>
      </c>
      <c r="K574" s="2" t="s">
        <v>548</v>
      </c>
      <c r="L574" s="9" t="s">
        <v>36</v>
      </c>
      <c r="M574" s="8" t="s">
        <v>176</v>
      </c>
      <c r="N574" s="2" t="s">
        <v>22</v>
      </c>
      <c r="O574" s="15" t="s">
        <v>104</v>
      </c>
      <c r="P574" s="8" t="s">
        <v>105</v>
      </c>
      <c r="Q574" s="8" t="s">
        <v>1575</v>
      </c>
    </row>
    <row r="575" customFormat="false" ht="23.85" hidden="false" customHeight="false" outlineLevel="0" collapsed="false">
      <c r="A575" s="2" t="s">
        <v>1574</v>
      </c>
      <c r="B575" s="2" t="s">
        <v>1576</v>
      </c>
      <c r="C575" s="3" t="n">
        <v>44.95</v>
      </c>
      <c r="D575" s="3" t="n">
        <v>-72.25</v>
      </c>
      <c r="E575" s="4" t="s">
        <v>19</v>
      </c>
      <c r="F575" s="5" t="n">
        <v>682</v>
      </c>
      <c r="G575" s="11" t="s">
        <v>67</v>
      </c>
      <c r="H575" s="10" t="s">
        <v>49</v>
      </c>
      <c r="I575" s="13" t="s">
        <v>69</v>
      </c>
      <c r="J575" s="2" t="s">
        <v>70</v>
      </c>
      <c r="K575" s="2" t="s">
        <v>1577</v>
      </c>
      <c r="L575" s="9" t="s">
        <v>36</v>
      </c>
      <c r="M575" s="8" t="s">
        <v>176</v>
      </c>
      <c r="N575" s="2" t="s">
        <v>41</v>
      </c>
      <c r="O575" s="9" t="s">
        <v>42</v>
      </c>
      <c r="P575" s="8" t="s">
        <v>43</v>
      </c>
      <c r="Q575" s="8" t="s">
        <v>1578</v>
      </c>
    </row>
    <row r="576" customFormat="false" ht="23.85" hidden="false" customHeight="false" outlineLevel="0" collapsed="false">
      <c r="A576" s="2" t="s">
        <v>1574</v>
      </c>
      <c r="B576" s="2" t="s">
        <v>1579</v>
      </c>
      <c r="C576" s="3" t="n">
        <v>43.65</v>
      </c>
      <c r="D576" s="3" t="n">
        <v>-73.22</v>
      </c>
      <c r="E576" s="4" t="s">
        <v>19</v>
      </c>
      <c r="F576" s="5" t="n">
        <v>405</v>
      </c>
      <c r="G576" s="11" t="s">
        <v>67</v>
      </c>
      <c r="H576" s="12" t="s">
        <v>68</v>
      </c>
      <c r="I576" s="13" t="s">
        <v>69</v>
      </c>
      <c r="J576" s="2" t="s">
        <v>70</v>
      </c>
      <c r="K576" s="2" t="s">
        <v>71</v>
      </c>
      <c r="L576" s="14" t="s">
        <v>72</v>
      </c>
      <c r="M576" s="8" t="s">
        <v>73</v>
      </c>
      <c r="N576" s="2" t="s">
        <v>70</v>
      </c>
      <c r="O576" s="9" t="s">
        <v>42</v>
      </c>
      <c r="P576" s="8" t="s">
        <v>43</v>
      </c>
      <c r="Q576" s="8" t="s">
        <v>284</v>
      </c>
    </row>
    <row r="577" customFormat="false" ht="23.85" hidden="false" customHeight="false" outlineLevel="0" collapsed="false">
      <c r="A577" s="2" t="s">
        <v>1574</v>
      </c>
      <c r="B577" s="2" t="s">
        <v>1580</v>
      </c>
      <c r="C577" s="3" t="n">
        <v>44.75</v>
      </c>
      <c r="D577" s="3" t="n">
        <v>-72.05</v>
      </c>
      <c r="E577" s="4" t="s">
        <v>19</v>
      </c>
      <c r="F577" s="5" t="n">
        <v>1152</v>
      </c>
      <c r="G577" s="11" t="s">
        <v>67</v>
      </c>
      <c r="H577" s="12" t="s">
        <v>68</v>
      </c>
      <c r="I577" s="13" t="s">
        <v>69</v>
      </c>
      <c r="J577" s="2" t="s">
        <v>70</v>
      </c>
      <c r="K577" s="2" t="s">
        <v>71</v>
      </c>
      <c r="L577" s="14" t="s">
        <v>72</v>
      </c>
      <c r="M577" s="8" t="s">
        <v>73</v>
      </c>
      <c r="N577" s="2" t="s">
        <v>70</v>
      </c>
      <c r="O577" s="9" t="s">
        <v>42</v>
      </c>
      <c r="P577" s="8" t="s">
        <v>43</v>
      </c>
      <c r="Q577" s="8" t="s">
        <v>281</v>
      </c>
    </row>
    <row r="578" customFormat="false" ht="23.85" hidden="false" customHeight="false" outlineLevel="0" collapsed="false">
      <c r="A578" s="2" t="s">
        <v>1574</v>
      </c>
      <c r="B578" s="2" t="s">
        <v>1581</v>
      </c>
      <c r="C578" s="3" t="n">
        <v>43.9</v>
      </c>
      <c r="D578" s="3" t="n">
        <v>-73.08</v>
      </c>
      <c r="E578" s="4" t="s">
        <v>19</v>
      </c>
      <c r="F578" s="5" t="n">
        <v>623</v>
      </c>
      <c r="G578" s="11" t="s">
        <v>67</v>
      </c>
      <c r="H578" s="12" t="s">
        <v>68</v>
      </c>
      <c r="I578" s="13" t="s">
        <v>69</v>
      </c>
      <c r="J578" s="2" t="s">
        <v>70</v>
      </c>
      <c r="K578" s="2" t="s">
        <v>1582</v>
      </c>
      <c r="L578" s="14" t="s">
        <v>72</v>
      </c>
      <c r="M578" s="8" t="s">
        <v>73</v>
      </c>
      <c r="N578" s="2" t="s">
        <v>70</v>
      </c>
      <c r="O578" s="9" t="s">
        <v>42</v>
      </c>
      <c r="P578" s="8" t="s">
        <v>43</v>
      </c>
      <c r="Q578" s="8" t="s">
        <v>1583</v>
      </c>
    </row>
    <row r="579" customFormat="false" ht="23.85" hidden="false" customHeight="false" outlineLevel="0" collapsed="false">
      <c r="A579" s="2" t="s">
        <v>1574</v>
      </c>
      <c r="B579" s="2" t="s">
        <v>1584</v>
      </c>
      <c r="C579" s="3" t="n">
        <v>43.48</v>
      </c>
      <c r="D579" s="3" t="n">
        <v>-73.2</v>
      </c>
      <c r="E579" s="10" t="s">
        <v>49</v>
      </c>
      <c r="F579" s="5" t="n">
        <v>427</v>
      </c>
      <c r="G579" s="11" t="s">
        <v>67</v>
      </c>
      <c r="H579" s="12" t="s">
        <v>68</v>
      </c>
      <c r="I579" s="13" t="s">
        <v>69</v>
      </c>
      <c r="J579" s="2" t="s">
        <v>70</v>
      </c>
      <c r="K579" s="2" t="s">
        <v>71</v>
      </c>
      <c r="L579" s="14" t="s">
        <v>72</v>
      </c>
      <c r="M579" s="8" t="s">
        <v>73</v>
      </c>
      <c r="N579" s="2" t="s">
        <v>70</v>
      </c>
      <c r="O579" s="9" t="s">
        <v>42</v>
      </c>
      <c r="P579" s="8" t="s">
        <v>43</v>
      </c>
      <c r="Q579" s="8" t="s">
        <v>284</v>
      </c>
    </row>
    <row r="580" customFormat="false" ht="23.85" hidden="false" customHeight="false" outlineLevel="0" collapsed="false">
      <c r="A580" s="2" t="s">
        <v>1574</v>
      </c>
      <c r="B580" s="2" t="s">
        <v>1585</v>
      </c>
      <c r="C580" s="3" t="n">
        <v>42.8</v>
      </c>
      <c r="D580" s="3" t="n">
        <v>-72.9</v>
      </c>
      <c r="E580" s="4" t="s">
        <v>19</v>
      </c>
      <c r="F580" s="5" t="n">
        <v>1490</v>
      </c>
      <c r="G580" s="6" t="s">
        <v>20</v>
      </c>
      <c r="H580" s="12" t="s">
        <v>68</v>
      </c>
      <c r="I580" s="7" t="s">
        <v>21</v>
      </c>
      <c r="J580" s="2" t="s">
        <v>22</v>
      </c>
      <c r="K580" s="2" t="s">
        <v>1586</v>
      </c>
      <c r="L580" s="9" t="s">
        <v>36</v>
      </c>
      <c r="M580" s="8" t="s">
        <v>176</v>
      </c>
      <c r="N580" s="2" t="s">
        <v>41</v>
      </c>
      <c r="O580" s="9" t="s">
        <v>42</v>
      </c>
      <c r="P580" s="8" t="s">
        <v>43</v>
      </c>
      <c r="Q580" s="8" t="s">
        <v>1587</v>
      </c>
    </row>
    <row r="581" customFormat="false" ht="23.85" hidden="false" customHeight="false" outlineLevel="0" collapsed="false">
      <c r="A581" s="2" t="s">
        <v>1574</v>
      </c>
      <c r="B581" s="2" t="s">
        <v>1588</v>
      </c>
      <c r="C581" s="3" t="n">
        <v>42.98</v>
      </c>
      <c r="D581" s="3" t="n">
        <v>-72.95</v>
      </c>
      <c r="E581" s="10" t="s">
        <v>49</v>
      </c>
      <c r="F581" s="5" t="n">
        <v>2140</v>
      </c>
      <c r="G581" s="6" t="s">
        <v>20</v>
      </c>
      <c r="H581" s="12" t="s">
        <v>68</v>
      </c>
      <c r="I581" s="7" t="s">
        <v>21</v>
      </c>
      <c r="J581" s="2" t="s">
        <v>22</v>
      </c>
      <c r="K581" s="2" t="s">
        <v>1586</v>
      </c>
      <c r="L581" s="9" t="s">
        <v>36</v>
      </c>
      <c r="M581" s="8" t="s">
        <v>176</v>
      </c>
      <c r="N581" s="2" t="s">
        <v>41</v>
      </c>
      <c r="O581" s="9" t="s">
        <v>42</v>
      </c>
      <c r="P581" s="8" t="s">
        <v>43</v>
      </c>
      <c r="Q581" s="8" t="s">
        <v>1589</v>
      </c>
    </row>
    <row r="582" customFormat="false" ht="23.85" hidden="false" customHeight="false" outlineLevel="0" collapsed="false">
      <c r="A582" s="2" t="s">
        <v>1574</v>
      </c>
      <c r="B582" s="2" t="s">
        <v>1590</v>
      </c>
      <c r="C582" s="3" t="n">
        <v>44.95</v>
      </c>
      <c r="D582" s="3" t="n">
        <v>-72.88</v>
      </c>
      <c r="E582" s="10" t="s">
        <v>49</v>
      </c>
      <c r="F582" s="5" t="n">
        <v>426</v>
      </c>
      <c r="G582" s="11" t="s">
        <v>67</v>
      </c>
      <c r="H582" s="12" t="s">
        <v>68</v>
      </c>
      <c r="I582" s="13" t="s">
        <v>69</v>
      </c>
      <c r="J582" s="2" t="s">
        <v>70</v>
      </c>
      <c r="K582" s="2" t="s">
        <v>71</v>
      </c>
      <c r="L582" s="14" t="s">
        <v>72</v>
      </c>
      <c r="M582" s="8" t="s">
        <v>73</v>
      </c>
      <c r="N582" s="2" t="s">
        <v>70</v>
      </c>
      <c r="O582" s="9" t="s">
        <v>42</v>
      </c>
      <c r="P582" s="8" t="s">
        <v>43</v>
      </c>
      <c r="Q582" s="8" t="s">
        <v>284</v>
      </c>
    </row>
    <row r="583" customFormat="false" ht="23.85" hidden="false" customHeight="false" outlineLevel="0" collapsed="false">
      <c r="A583" s="2" t="s">
        <v>1574</v>
      </c>
      <c r="B583" s="2" t="s">
        <v>1591</v>
      </c>
      <c r="C583" s="3" t="n">
        <v>44.58</v>
      </c>
      <c r="D583" s="3" t="n">
        <v>-72.28</v>
      </c>
      <c r="E583" s="10" t="s">
        <v>49</v>
      </c>
      <c r="F583" s="5" t="n">
        <v>1417</v>
      </c>
      <c r="G583" s="11" t="s">
        <v>67</v>
      </c>
      <c r="H583" s="12" t="s">
        <v>68</v>
      </c>
      <c r="I583" s="13" t="s">
        <v>69</v>
      </c>
      <c r="J583" s="2" t="s">
        <v>70</v>
      </c>
      <c r="K583" s="2" t="s">
        <v>71</v>
      </c>
      <c r="L583" s="14" t="s">
        <v>72</v>
      </c>
      <c r="M583" s="8" t="s">
        <v>73</v>
      </c>
      <c r="N583" s="2" t="s">
        <v>70</v>
      </c>
      <c r="O583" s="9" t="s">
        <v>42</v>
      </c>
      <c r="P583" s="8" t="s">
        <v>43</v>
      </c>
      <c r="Q583" s="8" t="s">
        <v>284</v>
      </c>
    </row>
    <row r="584" customFormat="false" ht="23.85" hidden="false" customHeight="false" outlineLevel="0" collapsed="false">
      <c r="A584" s="2" t="s">
        <v>1574</v>
      </c>
      <c r="B584" s="2" t="s">
        <v>1592</v>
      </c>
      <c r="C584" s="3" t="n">
        <v>44.73</v>
      </c>
      <c r="D584" s="3" t="n">
        <v>-72.16</v>
      </c>
      <c r="E584" s="10" t="s">
        <v>49</v>
      </c>
      <c r="F584" s="5" t="n">
        <v>1145</v>
      </c>
      <c r="G584" s="11" t="s">
        <v>67</v>
      </c>
      <c r="H584" s="12" t="s">
        <v>68</v>
      </c>
      <c r="I584" s="13" t="s">
        <v>69</v>
      </c>
      <c r="J584" s="2" t="s">
        <v>70</v>
      </c>
      <c r="K584" s="2" t="s">
        <v>71</v>
      </c>
      <c r="L584" s="14" t="s">
        <v>72</v>
      </c>
      <c r="M584" s="8" t="s">
        <v>73</v>
      </c>
      <c r="N584" s="2" t="s">
        <v>70</v>
      </c>
      <c r="O584" s="9" t="s">
        <v>42</v>
      </c>
      <c r="P584" s="8" t="s">
        <v>43</v>
      </c>
      <c r="Q584" s="8" t="s">
        <v>284</v>
      </c>
    </row>
    <row r="585" customFormat="false" ht="23.85" hidden="false" customHeight="false" outlineLevel="0" collapsed="false">
      <c r="A585" s="2" t="s">
        <v>1574</v>
      </c>
      <c r="B585" s="2" t="s">
        <v>1593</v>
      </c>
      <c r="C585" s="3" t="n">
        <v>44.95</v>
      </c>
      <c r="D585" s="3" t="n">
        <v>-72.05</v>
      </c>
      <c r="E585" s="10" t="s">
        <v>49</v>
      </c>
      <c r="F585" s="5" t="n">
        <v>1610</v>
      </c>
      <c r="G585" s="11" t="s">
        <v>67</v>
      </c>
      <c r="H585" s="12" t="s">
        <v>68</v>
      </c>
      <c r="I585" s="13" t="s">
        <v>69</v>
      </c>
      <c r="J585" s="2" t="s">
        <v>70</v>
      </c>
      <c r="K585" s="2" t="s">
        <v>71</v>
      </c>
      <c r="L585" s="14" t="s">
        <v>72</v>
      </c>
      <c r="M585" s="8" t="s">
        <v>73</v>
      </c>
      <c r="N585" s="2" t="s">
        <v>70</v>
      </c>
      <c r="O585" s="9" t="s">
        <v>42</v>
      </c>
      <c r="P585" s="8" t="s">
        <v>43</v>
      </c>
      <c r="Q585" s="8" t="s">
        <v>284</v>
      </c>
    </row>
    <row r="586" customFormat="false" ht="23.85" hidden="false" customHeight="false" outlineLevel="0" collapsed="false">
      <c r="A586" s="2" t="s">
        <v>1594</v>
      </c>
      <c r="B586" s="2" t="s">
        <v>1595</v>
      </c>
      <c r="C586" s="3" t="n">
        <v>37.05</v>
      </c>
      <c r="D586" s="3" t="n">
        <v>-79.7</v>
      </c>
      <c r="E586" s="4" t="s">
        <v>19</v>
      </c>
      <c r="F586" s="5" t="n">
        <v>795</v>
      </c>
      <c r="G586" s="6" t="s">
        <v>20</v>
      </c>
      <c r="H586" s="4" t="s">
        <v>19</v>
      </c>
      <c r="I586" s="7" t="s">
        <v>21</v>
      </c>
      <c r="J586" s="2" t="s">
        <v>22</v>
      </c>
      <c r="K586" s="2" t="s">
        <v>1596</v>
      </c>
      <c r="L586" s="6" t="s">
        <v>24</v>
      </c>
      <c r="M586" s="8" t="s">
        <v>1597</v>
      </c>
      <c r="N586" s="2" t="s">
        <v>22</v>
      </c>
      <c r="O586" s="6" t="s">
        <v>26</v>
      </c>
      <c r="P586" s="8" t="s">
        <v>27</v>
      </c>
      <c r="Q586" s="8" t="s">
        <v>1598</v>
      </c>
    </row>
    <row r="587" customFormat="false" ht="23.85" hidden="false" customHeight="false" outlineLevel="0" collapsed="false">
      <c r="A587" s="2" t="s">
        <v>1594</v>
      </c>
      <c r="B587" s="2" t="s">
        <v>1599</v>
      </c>
      <c r="C587" s="3" t="n">
        <v>36.6</v>
      </c>
      <c r="D587" s="3" t="n">
        <v>-78.35</v>
      </c>
      <c r="E587" s="4" t="s">
        <v>19</v>
      </c>
      <c r="F587" s="5" t="n">
        <v>300</v>
      </c>
      <c r="G587" s="6" t="s">
        <v>20</v>
      </c>
      <c r="H587" s="4" t="s">
        <v>19</v>
      </c>
      <c r="I587" s="7" t="s">
        <v>21</v>
      </c>
      <c r="J587" s="2" t="s">
        <v>22</v>
      </c>
      <c r="K587" s="2" t="s">
        <v>1181</v>
      </c>
      <c r="L587" s="6" t="s">
        <v>24</v>
      </c>
      <c r="M587" s="8" t="s">
        <v>1600</v>
      </c>
      <c r="N587" s="2" t="s">
        <v>22</v>
      </c>
      <c r="O587" s="6" t="s">
        <v>26</v>
      </c>
      <c r="P587" s="8" t="s">
        <v>27</v>
      </c>
      <c r="Q587" s="8" t="s">
        <v>1601</v>
      </c>
    </row>
    <row r="588" customFormat="false" ht="23.85" hidden="false" customHeight="false" outlineLevel="0" collapsed="false">
      <c r="A588" s="2" t="s">
        <v>1594</v>
      </c>
      <c r="B588" s="2" t="s">
        <v>1602</v>
      </c>
      <c r="C588" s="3" t="n">
        <v>38.07</v>
      </c>
      <c r="D588" s="3" t="n">
        <v>-77.8</v>
      </c>
      <c r="E588" s="4" t="s">
        <v>19</v>
      </c>
      <c r="F588" s="5" t="n">
        <v>250</v>
      </c>
      <c r="G588" s="6" t="s">
        <v>20</v>
      </c>
      <c r="H588" s="4" t="s">
        <v>19</v>
      </c>
      <c r="I588" s="7" t="s">
        <v>21</v>
      </c>
      <c r="J588" s="2" t="s">
        <v>22</v>
      </c>
      <c r="K588" s="2" t="s">
        <v>1178</v>
      </c>
      <c r="L588" s="6" t="s">
        <v>24</v>
      </c>
      <c r="M588" s="8" t="s">
        <v>1603</v>
      </c>
      <c r="N588" s="2" t="s">
        <v>41</v>
      </c>
      <c r="O588" s="9" t="s">
        <v>42</v>
      </c>
      <c r="P588" s="8" t="s">
        <v>43</v>
      </c>
      <c r="Q588" s="8" t="s">
        <v>1604</v>
      </c>
    </row>
    <row r="589" customFormat="false" ht="23.85" hidden="false" customHeight="false" outlineLevel="0" collapsed="false">
      <c r="A589" s="2" t="s">
        <v>1594</v>
      </c>
      <c r="B589" s="2" t="s">
        <v>1177</v>
      </c>
      <c r="C589" s="3" t="n">
        <v>36.52</v>
      </c>
      <c r="D589" s="3" t="n">
        <v>-77.9</v>
      </c>
      <c r="E589" s="4" t="s">
        <v>19</v>
      </c>
      <c r="F589" s="5" t="n">
        <v>200</v>
      </c>
      <c r="G589" s="6" t="s">
        <v>20</v>
      </c>
      <c r="H589" s="4" t="s">
        <v>19</v>
      </c>
      <c r="I589" s="7" t="s">
        <v>21</v>
      </c>
      <c r="J589" s="2" t="s">
        <v>22</v>
      </c>
      <c r="K589" s="2" t="s">
        <v>1605</v>
      </c>
      <c r="L589" s="9" t="s">
        <v>36</v>
      </c>
      <c r="M589" s="8" t="s">
        <v>432</v>
      </c>
      <c r="N589" s="2" t="s">
        <v>22</v>
      </c>
      <c r="O589" s="6" t="s">
        <v>26</v>
      </c>
      <c r="P589" s="8" t="s">
        <v>27</v>
      </c>
      <c r="Q589" s="8" t="s">
        <v>1179</v>
      </c>
    </row>
    <row r="590" customFormat="false" ht="23.85" hidden="false" customHeight="false" outlineLevel="0" collapsed="false">
      <c r="A590" s="2" t="s">
        <v>1594</v>
      </c>
      <c r="B590" s="2" t="s">
        <v>1606</v>
      </c>
      <c r="C590" s="3" t="n">
        <v>37.06</v>
      </c>
      <c r="D590" s="3" t="n">
        <v>-80.63</v>
      </c>
      <c r="E590" s="10" t="s">
        <v>49</v>
      </c>
      <c r="F590" s="5" t="n">
        <v>1846</v>
      </c>
      <c r="G590" s="6" t="s">
        <v>20</v>
      </c>
      <c r="H590" s="4" t="s">
        <v>19</v>
      </c>
      <c r="I590" s="7" t="s">
        <v>21</v>
      </c>
      <c r="J590" s="2" t="s">
        <v>22</v>
      </c>
      <c r="K590" s="2" t="s">
        <v>1596</v>
      </c>
      <c r="L590" s="6" t="s">
        <v>24</v>
      </c>
      <c r="M590" s="8" t="s">
        <v>1597</v>
      </c>
      <c r="N590" s="2" t="s">
        <v>22</v>
      </c>
      <c r="O590" s="6" t="s">
        <v>26</v>
      </c>
      <c r="P590" s="8" t="s">
        <v>27</v>
      </c>
      <c r="Q590" s="8" t="s">
        <v>1607</v>
      </c>
    </row>
    <row r="591" customFormat="false" ht="23.85" hidden="false" customHeight="false" outlineLevel="0" collapsed="false">
      <c r="A591" s="2" t="s">
        <v>1594</v>
      </c>
      <c r="B591" s="2" t="s">
        <v>1608</v>
      </c>
      <c r="C591" s="3" t="n">
        <v>36.79</v>
      </c>
      <c r="D591" s="3" t="n">
        <v>-80.03</v>
      </c>
      <c r="E591" s="10" t="s">
        <v>49</v>
      </c>
      <c r="F591" s="5" t="n">
        <v>974</v>
      </c>
      <c r="G591" s="6" t="s">
        <v>20</v>
      </c>
      <c r="H591" s="4" t="s">
        <v>19</v>
      </c>
      <c r="I591" s="7" t="s">
        <v>21</v>
      </c>
      <c r="J591" s="2" t="s">
        <v>22</v>
      </c>
      <c r="K591" s="2" t="s">
        <v>1181</v>
      </c>
      <c r="L591" s="6" t="s">
        <v>24</v>
      </c>
      <c r="M591" s="8" t="s">
        <v>1344</v>
      </c>
      <c r="N591" s="2" t="s">
        <v>22</v>
      </c>
      <c r="O591" s="6" t="s">
        <v>26</v>
      </c>
      <c r="P591" s="8" t="s">
        <v>27</v>
      </c>
      <c r="Q591" s="8" t="s">
        <v>1609</v>
      </c>
    </row>
    <row r="592" customFormat="false" ht="23.85" hidden="false" customHeight="false" outlineLevel="0" collapsed="false">
      <c r="A592" s="2" t="s">
        <v>1594</v>
      </c>
      <c r="B592" s="2" t="s">
        <v>1610</v>
      </c>
      <c r="C592" s="3" t="n">
        <v>37.96</v>
      </c>
      <c r="D592" s="3" t="n">
        <v>-79.95</v>
      </c>
      <c r="E592" s="10" t="s">
        <v>49</v>
      </c>
      <c r="F592" s="5" t="n">
        <v>1582</v>
      </c>
      <c r="G592" s="6" t="s">
        <v>20</v>
      </c>
      <c r="H592" s="4" t="s">
        <v>19</v>
      </c>
      <c r="I592" s="7" t="s">
        <v>21</v>
      </c>
      <c r="J592" s="2" t="s">
        <v>22</v>
      </c>
      <c r="K592" s="2" t="s">
        <v>1611</v>
      </c>
      <c r="L592" s="6" t="s">
        <v>24</v>
      </c>
      <c r="M592" s="8" t="s">
        <v>1344</v>
      </c>
      <c r="N592" s="2" t="s">
        <v>41</v>
      </c>
      <c r="O592" s="9" t="s">
        <v>42</v>
      </c>
      <c r="P592" s="8" t="s">
        <v>43</v>
      </c>
      <c r="Q592" s="8" t="s">
        <v>1612</v>
      </c>
    </row>
    <row r="593" customFormat="false" ht="23.85" hidden="false" customHeight="false" outlineLevel="0" collapsed="false">
      <c r="A593" s="2" t="s">
        <v>1594</v>
      </c>
      <c r="B593" s="2" t="s">
        <v>1613</v>
      </c>
      <c r="C593" s="3" t="n">
        <v>36.6</v>
      </c>
      <c r="D593" s="3" t="n">
        <v>-81.9</v>
      </c>
      <c r="E593" s="10" t="s">
        <v>49</v>
      </c>
      <c r="F593" s="5" t="n">
        <v>1729</v>
      </c>
      <c r="G593" s="6" t="s">
        <v>20</v>
      </c>
      <c r="H593" s="4" t="s">
        <v>19</v>
      </c>
      <c r="I593" s="7" t="s">
        <v>21</v>
      </c>
      <c r="J593" s="2" t="s">
        <v>22</v>
      </c>
      <c r="K593" s="2" t="s">
        <v>23</v>
      </c>
      <c r="L593" s="6" t="s">
        <v>24</v>
      </c>
      <c r="M593" s="8" t="s">
        <v>30</v>
      </c>
      <c r="N593" s="2" t="s">
        <v>22</v>
      </c>
      <c r="O593" s="6" t="s">
        <v>26</v>
      </c>
      <c r="P593" s="8" t="s">
        <v>27</v>
      </c>
      <c r="Q593" s="8" t="s">
        <v>1614</v>
      </c>
    </row>
    <row r="594" customFormat="false" ht="23.85" hidden="false" customHeight="false" outlineLevel="0" collapsed="false">
      <c r="A594" s="2" t="s">
        <v>1594</v>
      </c>
      <c r="B594" s="2" t="s">
        <v>1615</v>
      </c>
      <c r="C594" s="3" t="n">
        <v>37.38</v>
      </c>
      <c r="D594" s="3" t="n">
        <v>-77.05</v>
      </c>
      <c r="E594" s="10" t="s">
        <v>49</v>
      </c>
      <c r="F594" s="5" t="n">
        <v>23</v>
      </c>
      <c r="G594" s="6" t="s">
        <v>20</v>
      </c>
      <c r="H594" s="12" t="s">
        <v>68</v>
      </c>
      <c r="I594" s="7" t="s">
        <v>21</v>
      </c>
      <c r="J594" s="2" t="s">
        <v>22</v>
      </c>
      <c r="K594" s="2" t="s">
        <v>1616</v>
      </c>
      <c r="L594" s="14" t="s">
        <v>72</v>
      </c>
      <c r="M594" s="8" t="s">
        <v>73</v>
      </c>
      <c r="N594" s="2" t="s">
        <v>41</v>
      </c>
      <c r="O594" s="9" t="s">
        <v>42</v>
      </c>
      <c r="P594" s="8" t="s">
        <v>43</v>
      </c>
      <c r="Q594" s="8" t="s">
        <v>1617</v>
      </c>
    </row>
    <row r="595" customFormat="false" ht="23.85" hidden="false" customHeight="false" outlineLevel="0" collapsed="false">
      <c r="A595" s="2" t="s">
        <v>1594</v>
      </c>
      <c r="B595" s="2" t="s">
        <v>1618</v>
      </c>
      <c r="C595" s="3" t="n">
        <v>37.23</v>
      </c>
      <c r="D595" s="3" t="n">
        <v>-77.65</v>
      </c>
      <c r="E595" s="10" t="s">
        <v>49</v>
      </c>
      <c r="F595" s="5" t="n">
        <v>157.2</v>
      </c>
      <c r="G595" s="6" t="s">
        <v>20</v>
      </c>
      <c r="H595" s="4" t="s">
        <v>19</v>
      </c>
      <c r="I595" s="7" t="s">
        <v>21</v>
      </c>
      <c r="J595" s="2" t="s">
        <v>22</v>
      </c>
      <c r="K595" s="2" t="s">
        <v>1619</v>
      </c>
      <c r="L595" s="9" t="s">
        <v>36</v>
      </c>
      <c r="M595" s="8" t="s">
        <v>1620</v>
      </c>
      <c r="N595" s="2" t="s">
        <v>22</v>
      </c>
      <c r="O595" s="6" t="s">
        <v>26</v>
      </c>
      <c r="P595" s="8" t="s">
        <v>27</v>
      </c>
      <c r="Q595" s="8" t="s">
        <v>1621</v>
      </c>
    </row>
    <row r="596" customFormat="false" ht="23.85" hidden="false" customHeight="false" outlineLevel="0" collapsed="false">
      <c r="A596" s="2" t="s">
        <v>1594</v>
      </c>
      <c r="B596" s="2" t="s">
        <v>1622</v>
      </c>
      <c r="C596" s="3" t="n">
        <v>37.23</v>
      </c>
      <c r="D596" s="3" t="n">
        <v>-82.35</v>
      </c>
      <c r="E596" s="10" t="s">
        <v>49</v>
      </c>
      <c r="F596" s="5" t="n">
        <v>1396</v>
      </c>
      <c r="G596" s="6" t="s">
        <v>20</v>
      </c>
      <c r="H596" s="4" t="s">
        <v>19</v>
      </c>
      <c r="I596" s="7" t="s">
        <v>21</v>
      </c>
      <c r="J596" s="2" t="s">
        <v>22</v>
      </c>
      <c r="K596" s="2" t="s">
        <v>1260</v>
      </c>
      <c r="L596" s="6" t="s">
        <v>24</v>
      </c>
      <c r="M596" s="8" t="s">
        <v>1344</v>
      </c>
      <c r="N596" s="2" t="s">
        <v>41</v>
      </c>
      <c r="O596" s="9" t="s">
        <v>42</v>
      </c>
      <c r="P596" s="8" t="s">
        <v>43</v>
      </c>
      <c r="Q596" s="8" t="s">
        <v>1623</v>
      </c>
    </row>
    <row r="597" customFormat="false" ht="23.85" hidden="false" customHeight="false" outlineLevel="0" collapsed="false">
      <c r="A597" s="2" t="s">
        <v>1594</v>
      </c>
      <c r="B597" s="2" t="s">
        <v>1624</v>
      </c>
      <c r="C597" s="3" t="n">
        <v>37.895</v>
      </c>
      <c r="D597" s="3" t="n">
        <v>-79.8</v>
      </c>
      <c r="E597" s="10" t="s">
        <v>49</v>
      </c>
      <c r="F597" s="5" t="n">
        <v>1450</v>
      </c>
      <c r="G597" s="6" t="s">
        <v>20</v>
      </c>
      <c r="H597" s="12" t="s">
        <v>68</v>
      </c>
      <c r="I597" s="7" t="s">
        <v>21</v>
      </c>
      <c r="J597" s="2" t="s">
        <v>22</v>
      </c>
      <c r="K597" s="2" t="s">
        <v>1625</v>
      </c>
      <c r="L597" s="14" t="s">
        <v>72</v>
      </c>
      <c r="M597" s="8" t="s">
        <v>73</v>
      </c>
      <c r="N597" s="2" t="s">
        <v>70</v>
      </c>
      <c r="O597" s="14" t="s">
        <v>294</v>
      </c>
      <c r="P597" s="8" t="s">
        <v>295</v>
      </c>
      <c r="Q597" s="8" t="s">
        <v>1626</v>
      </c>
    </row>
    <row r="598" customFormat="false" ht="23.85" hidden="false" customHeight="false" outlineLevel="0" collapsed="false">
      <c r="A598" s="2" t="s">
        <v>1627</v>
      </c>
      <c r="B598" s="2" t="s">
        <v>894</v>
      </c>
      <c r="C598" s="3" t="n">
        <v>47.62</v>
      </c>
      <c r="D598" s="3" t="n">
        <v>-122.26</v>
      </c>
      <c r="E598" s="4" t="s">
        <v>19</v>
      </c>
      <c r="F598" s="5" t="n">
        <v>16</v>
      </c>
      <c r="G598" s="11" t="s">
        <v>67</v>
      </c>
      <c r="H598" s="10" t="s">
        <v>49</v>
      </c>
      <c r="I598" s="13" t="s">
        <v>69</v>
      </c>
      <c r="J598" s="2" t="s">
        <v>70</v>
      </c>
      <c r="K598" s="2" t="s">
        <v>1628</v>
      </c>
      <c r="L598" s="9" t="s">
        <v>36</v>
      </c>
      <c r="M598" s="8" t="s">
        <v>432</v>
      </c>
      <c r="N598" s="2" t="s">
        <v>22</v>
      </c>
      <c r="O598" s="15" t="s">
        <v>104</v>
      </c>
      <c r="P598" s="8" t="s">
        <v>105</v>
      </c>
      <c r="Q598" s="8" t="s">
        <v>1629</v>
      </c>
    </row>
    <row r="599" customFormat="false" ht="23.85" hidden="false" customHeight="false" outlineLevel="0" collapsed="false">
      <c r="A599" s="2" t="s">
        <v>1627</v>
      </c>
      <c r="B599" s="2" t="s">
        <v>1630</v>
      </c>
      <c r="C599" s="3" t="n">
        <v>47.99</v>
      </c>
      <c r="D599" s="3" t="n">
        <v>-120.2</v>
      </c>
      <c r="E599" s="4" t="s">
        <v>19</v>
      </c>
      <c r="F599" s="5" t="n">
        <v>1100</v>
      </c>
      <c r="G599" s="6" t="s">
        <v>20</v>
      </c>
      <c r="H599" s="4" t="s">
        <v>19</v>
      </c>
      <c r="I599" s="13" t="s">
        <v>69</v>
      </c>
      <c r="J599" s="2" t="s">
        <v>70</v>
      </c>
      <c r="K599" s="2" t="s">
        <v>1631</v>
      </c>
      <c r="L599" s="6" t="s">
        <v>24</v>
      </c>
      <c r="M599" s="8" t="s">
        <v>1632</v>
      </c>
      <c r="N599" s="2" t="s">
        <v>41</v>
      </c>
      <c r="O599" s="9" t="s">
        <v>42</v>
      </c>
      <c r="P599" s="8" t="s">
        <v>43</v>
      </c>
      <c r="Q599" s="8" t="s">
        <v>1633</v>
      </c>
    </row>
    <row r="600" customFormat="false" ht="23.85" hidden="false" customHeight="false" outlineLevel="0" collapsed="false">
      <c r="A600" s="2" t="s">
        <v>1627</v>
      </c>
      <c r="B600" s="2" t="s">
        <v>1634</v>
      </c>
      <c r="C600" s="3" t="n">
        <v>48</v>
      </c>
      <c r="D600" s="3" t="n">
        <v>-118.2</v>
      </c>
      <c r="E600" s="10" t="s">
        <v>49</v>
      </c>
      <c r="F600" s="5" t="n">
        <v>1290</v>
      </c>
      <c r="G600" s="6" t="s">
        <v>20</v>
      </c>
      <c r="H600" s="4" t="s">
        <v>19</v>
      </c>
      <c r="I600" s="7" t="s">
        <v>21</v>
      </c>
      <c r="J600" s="2" t="s">
        <v>22</v>
      </c>
      <c r="K600" s="2" t="s">
        <v>1635</v>
      </c>
      <c r="L600" s="6" t="s">
        <v>24</v>
      </c>
      <c r="M600" s="8" t="s">
        <v>242</v>
      </c>
      <c r="N600" s="2" t="s">
        <v>22</v>
      </c>
      <c r="O600" s="6" t="s">
        <v>26</v>
      </c>
      <c r="P600" s="8" t="s">
        <v>27</v>
      </c>
      <c r="Q600" s="8" t="s">
        <v>1636</v>
      </c>
    </row>
    <row r="601" customFormat="false" ht="23.85" hidden="false" customHeight="false" outlineLevel="0" collapsed="false">
      <c r="A601" s="2" t="s">
        <v>1627</v>
      </c>
      <c r="B601" s="2" t="s">
        <v>1637</v>
      </c>
      <c r="C601" s="3" t="n">
        <v>47.8</v>
      </c>
      <c r="D601" s="3" t="n">
        <v>-119.15</v>
      </c>
      <c r="E601" s="10" t="s">
        <v>49</v>
      </c>
      <c r="F601" s="5" t="n">
        <v>1570</v>
      </c>
      <c r="G601" s="6" t="s">
        <v>20</v>
      </c>
      <c r="H601" s="4" t="s">
        <v>19</v>
      </c>
      <c r="I601" s="7" t="s">
        <v>21</v>
      </c>
      <c r="J601" s="2" t="s">
        <v>22</v>
      </c>
      <c r="K601" s="2" t="s">
        <v>1638</v>
      </c>
      <c r="L601" s="6" t="s">
        <v>24</v>
      </c>
      <c r="M601" s="8" t="s">
        <v>242</v>
      </c>
      <c r="N601" s="2" t="s">
        <v>41</v>
      </c>
      <c r="O601" s="9" t="s">
        <v>42</v>
      </c>
      <c r="P601" s="8" t="s">
        <v>43</v>
      </c>
      <c r="Q601" s="8" t="s">
        <v>1639</v>
      </c>
    </row>
    <row r="602" customFormat="false" ht="23.85" hidden="false" customHeight="false" outlineLevel="0" collapsed="false">
      <c r="A602" s="2" t="s">
        <v>1627</v>
      </c>
      <c r="B602" s="2" t="s">
        <v>1640</v>
      </c>
      <c r="C602" s="3" t="n">
        <v>47.13</v>
      </c>
      <c r="D602" s="3" t="n">
        <v>-119.32</v>
      </c>
      <c r="E602" s="10" t="s">
        <v>49</v>
      </c>
      <c r="F602" s="5" t="n">
        <v>1046</v>
      </c>
      <c r="G602" s="11" t="s">
        <v>67</v>
      </c>
      <c r="H602" s="10" t="s">
        <v>49</v>
      </c>
      <c r="I602" s="13" t="s">
        <v>69</v>
      </c>
      <c r="J602" s="2" t="s">
        <v>70</v>
      </c>
      <c r="K602" s="2" t="s">
        <v>1641</v>
      </c>
      <c r="L602" s="9" t="s">
        <v>36</v>
      </c>
      <c r="M602" s="8" t="s">
        <v>432</v>
      </c>
      <c r="N602" s="2" t="s">
        <v>41</v>
      </c>
      <c r="O602" s="9" t="s">
        <v>42</v>
      </c>
      <c r="P602" s="8" t="s">
        <v>43</v>
      </c>
      <c r="Q602" s="8" t="s">
        <v>1642</v>
      </c>
    </row>
    <row r="603" customFormat="false" ht="23.85" hidden="false" customHeight="false" outlineLevel="0" collapsed="false">
      <c r="A603" s="2" t="s">
        <v>1627</v>
      </c>
      <c r="B603" s="2" t="s">
        <v>1643</v>
      </c>
      <c r="C603" s="3" t="n">
        <v>47.64</v>
      </c>
      <c r="D603" s="3" t="n">
        <v>-122.335</v>
      </c>
      <c r="E603" s="4" t="s">
        <v>19</v>
      </c>
      <c r="F603" s="5" t="n">
        <v>16</v>
      </c>
      <c r="G603" s="11" t="s">
        <v>67</v>
      </c>
      <c r="H603" s="10" t="s">
        <v>49</v>
      </c>
      <c r="I603" s="13" t="s">
        <v>69</v>
      </c>
      <c r="J603" s="2" t="s">
        <v>70</v>
      </c>
      <c r="K603" s="2" t="s">
        <v>1644</v>
      </c>
      <c r="L603" s="9" t="s">
        <v>36</v>
      </c>
      <c r="M603" s="8" t="s">
        <v>432</v>
      </c>
      <c r="N603" s="2" t="s">
        <v>41</v>
      </c>
      <c r="O603" s="9" t="s">
        <v>42</v>
      </c>
      <c r="P603" s="8" t="s">
        <v>43</v>
      </c>
      <c r="Q603" s="8" t="s">
        <v>1645</v>
      </c>
    </row>
    <row r="604" customFormat="false" ht="23.85" hidden="false" customHeight="false" outlineLevel="0" collapsed="false">
      <c r="A604" s="2" t="s">
        <v>1627</v>
      </c>
      <c r="B604" s="2" t="s">
        <v>1646</v>
      </c>
      <c r="C604" s="3" t="n">
        <v>47.59</v>
      </c>
      <c r="D604" s="3" t="n">
        <v>-122.08</v>
      </c>
      <c r="E604" s="4" t="s">
        <v>19</v>
      </c>
      <c r="F604" s="5" t="n">
        <v>30</v>
      </c>
      <c r="G604" s="11" t="s">
        <v>67</v>
      </c>
      <c r="H604" s="10" t="s">
        <v>49</v>
      </c>
      <c r="I604" s="13" t="s">
        <v>69</v>
      </c>
      <c r="J604" s="2" t="s">
        <v>70</v>
      </c>
      <c r="K604" s="2" t="s">
        <v>1647</v>
      </c>
      <c r="L604" s="9" t="s">
        <v>36</v>
      </c>
      <c r="M604" s="8" t="s">
        <v>432</v>
      </c>
      <c r="N604" s="2" t="s">
        <v>41</v>
      </c>
      <c r="O604" s="9" t="s">
        <v>42</v>
      </c>
      <c r="P604" s="8" t="s">
        <v>43</v>
      </c>
      <c r="Q604" s="8" t="s">
        <v>1648</v>
      </c>
    </row>
    <row r="605" customFormat="false" ht="23.85" hidden="false" customHeight="false" outlineLevel="0" collapsed="false">
      <c r="A605" s="2" t="s">
        <v>1627</v>
      </c>
      <c r="B605" s="2" t="s">
        <v>1649</v>
      </c>
      <c r="C605" s="3" t="n">
        <v>48.8</v>
      </c>
      <c r="D605" s="3" t="n">
        <v>-121.07</v>
      </c>
      <c r="E605" s="10" t="s">
        <v>49</v>
      </c>
      <c r="F605" s="5" t="n">
        <v>1602.5</v>
      </c>
      <c r="G605" s="6" t="s">
        <v>20</v>
      </c>
      <c r="H605" s="10" t="s">
        <v>49</v>
      </c>
      <c r="I605" s="7" t="s">
        <v>21</v>
      </c>
      <c r="J605" s="2" t="s">
        <v>22</v>
      </c>
      <c r="K605" s="2" t="s">
        <v>1650</v>
      </c>
      <c r="L605" s="6" t="s">
        <v>24</v>
      </c>
      <c r="M605" s="8" t="s">
        <v>1651</v>
      </c>
      <c r="N605" s="2" t="s">
        <v>41</v>
      </c>
      <c r="O605" s="9" t="s">
        <v>42</v>
      </c>
      <c r="P605" s="8" t="s">
        <v>43</v>
      </c>
      <c r="Q605" s="8" t="s">
        <v>1652</v>
      </c>
    </row>
    <row r="606" customFormat="false" ht="23.85" hidden="false" customHeight="false" outlineLevel="0" collapsed="false">
      <c r="A606" s="2" t="s">
        <v>1627</v>
      </c>
      <c r="B606" s="2" t="s">
        <v>1653</v>
      </c>
      <c r="C606" s="3" t="n">
        <v>46.98</v>
      </c>
      <c r="D606" s="3" t="n">
        <v>-119.33</v>
      </c>
      <c r="E606" s="10" t="s">
        <v>49</v>
      </c>
      <c r="F606" s="5" t="n">
        <v>1046</v>
      </c>
      <c r="G606" s="6" t="s">
        <v>20</v>
      </c>
      <c r="H606" s="10" t="s">
        <v>49</v>
      </c>
      <c r="I606" s="7" t="s">
        <v>21</v>
      </c>
      <c r="J606" s="2" t="s">
        <v>22</v>
      </c>
      <c r="K606" s="2" t="s">
        <v>1654</v>
      </c>
      <c r="L606" s="6" t="s">
        <v>24</v>
      </c>
      <c r="M606" s="8" t="s">
        <v>242</v>
      </c>
      <c r="N606" s="2" t="s">
        <v>41</v>
      </c>
      <c r="O606" s="9" t="s">
        <v>42</v>
      </c>
      <c r="P606" s="8" t="s">
        <v>43</v>
      </c>
      <c r="Q606" s="8" t="s">
        <v>1655</v>
      </c>
    </row>
    <row r="607" customFormat="false" ht="23.85" hidden="false" customHeight="false" outlineLevel="0" collapsed="false">
      <c r="A607" s="2" t="s">
        <v>1627</v>
      </c>
      <c r="B607" s="2" t="s">
        <v>1656</v>
      </c>
      <c r="C607" s="3" t="n">
        <v>46.5</v>
      </c>
      <c r="D607" s="3" t="n">
        <v>-122.42</v>
      </c>
      <c r="E607" s="10" t="s">
        <v>49</v>
      </c>
      <c r="F607" s="5" t="n">
        <v>778.5</v>
      </c>
      <c r="G607" s="6" t="s">
        <v>20</v>
      </c>
      <c r="H607" s="10" t="s">
        <v>49</v>
      </c>
      <c r="I607" s="7" t="s">
        <v>21</v>
      </c>
      <c r="J607" s="2" t="s">
        <v>22</v>
      </c>
      <c r="K607" s="2" t="s">
        <v>1657</v>
      </c>
      <c r="L607" s="6" t="s">
        <v>24</v>
      </c>
      <c r="M607" s="8" t="s">
        <v>1658</v>
      </c>
      <c r="N607" s="2" t="s">
        <v>41</v>
      </c>
      <c r="O607" s="9" t="s">
        <v>42</v>
      </c>
      <c r="P607" s="8" t="s">
        <v>43</v>
      </c>
      <c r="Q607" s="8" t="s">
        <v>1659</v>
      </c>
    </row>
    <row r="608" customFormat="false" ht="23.85" hidden="false" customHeight="false" outlineLevel="0" collapsed="false">
      <c r="A608" s="2" t="s">
        <v>1627</v>
      </c>
      <c r="B608" s="2" t="s">
        <v>1660</v>
      </c>
      <c r="C608" s="3" t="n">
        <v>48.06</v>
      </c>
      <c r="D608" s="3" t="n">
        <v>-123.8</v>
      </c>
      <c r="E608" s="4" t="s">
        <v>19</v>
      </c>
      <c r="F608" s="5" t="n">
        <v>580</v>
      </c>
      <c r="G608" s="11" t="s">
        <v>67</v>
      </c>
      <c r="H608" s="10" t="s">
        <v>49</v>
      </c>
      <c r="I608" s="13" t="s">
        <v>69</v>
      </c>
      <c r="J608" s="2" t="s">
        <v>70</v>
      </c>
      <c r="K608" s="2" t="s">
        <v>1661</v>
      </c>
      <c r="L608" s="14" t="s">
        <v>72</v>
      </c>
      <c r="M608" s="8" t="s">
        <v>73</v>
      </c>
      <c r="N608" s="2" t="s">
        <v>70</v>
      </c>
      <c r="O608" s="9" t="s">
        <v>42</v>
      </c>
      <c r="P608" s="8" t="s">
        <v>43</v>
      </c>
      <c r="Q608" s="8" t="s">
        <v>1662</v>
      </c>
    </row>
    <row r="609" customFormat="false" ht="23.85" hidden="false" customHeight="false" outlineLevel="0" collapsed="false">
      <c r="A609" s="2" t="s">
        <v>1627</v>
      </c>
      <c r="B609" s="2" t="s">
        <v>1663</v>
      </c>
      <c r="C609" s="3" t="n">
        <v>47.47</v>
      </c>
      <c r="D609" s="3" t="n">
        <v>-123.85</v>
      </c>
      <c r="E609" s="10" t="s">
        <v>49</v>
      </c>
      <c r="F609" s="5" t="n">
        <v>190</v>
      </c>
      <c r="G609" s="11" t="s">
        <v>67</v>
      </c>
      <c r="H609" s="12" t="s">
        <v>68</v>
      </c>
      <c r="I609" s="13" t="s">
        <v>69</v>
      </c>
      <c r="J609" s="2" t="s">
        <v>70</v>
      </c>
      <c r="K609" s="2" t="s">
        <v>1664</v>
      </c>
      <c r="L609" s="9" t="s">
        <v>36</v>
      </c>
      <c r="M609" s="8" t="s">
        <v>432</v>
      </c>
      <c r="N609" s="2" t="s">
        <v>41</v>
      </c>
      <c r="O609" s="9" t="s">
        <v>42</v>
      </c>
      <c r="P609" s="8" t="s">
        <v>43</v>
      </c>
      <c r="Q609" s="8" t="s">
        <v>1665</v>
      </c>
    </row>
    <row r="610" customFormat="false" ht="23.85" hidden="false" customHeight="false" outlineLevel="0" collapsed="false">
      <c r="A610" s="2" t="s">
        <v>1627</v>
      </c>
      <c r="B610" s="2" t="s">
        <v>1666</v>
      </c>
      <c r="C610" s="3" t="n">
        <v>47.45</v>
      </c>
      <c r="D610" s="3" t="n">
        <v>-123.22</v>
      </c>
      <c r="E610" s="10" t="s">
        <v>49</v>
      </c>
      <c r="F610" s="5" t="n">
        <v>738</v>
      </c>
      <c r="G610" s="6" t="s">
        <v>20</v>
      </c>
      <c r="H610" s="10" t="s">
        <v>49</v>
      </c>
      <c r="I610" s="7" t="s">
        <v>21</v>
      </c>
      <c r="J610" s="2" t="s">
        <v>22</v>
      </c>
      <c r="K610" s="2" t="s">
        <v>1667</v>
      </c>
      <c r="L610" s="6" t="s">
        <v>24</v>
      </c>
      <c r="M610" s="8" t="s">
        <v>1668</v>
      </c>
      <c r="N610" s="2" t="s">
        <v>41</v>
      </c>
      <c r="O610" s="9" t="s">
        <v>42</v>
      </c>
      <c r="P610" s="8" t="s">
        <v>43</v>
      </c>
      <c r="Q610" s="8" t="s">
        <v>1669</v>
      </c>
    </row>
    <row r="611" customFormat="false" ht="23.85" hidden="false" customHeight="false" outlineLevel="0" collapsed="false">
      <c r="A611" s="2" t="s">
        <v>1670</v>
      </c>
      <c r="B611" s="2" t="s">
        <v>1671</v>
      </c>
      <c r="C611" s="3" t="n">
        <v>38.23</v>
      </c>
      <c r="D611" s="3" t="n">
        <v>-80.89</v>
      </c>
      <c r="E611" s="10" t="s">
        <v>49</v>
      </c>
      <c r="F611" s="5" t="n">
        <v>1652</v>
      </c>
      <c r="G611" s="6" t="s">
        <v>20</v>
      </c>
      <c r="H611" s="4" t="s">
        <v>19</v>
      </c>
      <c r="I611" s="7" t="s">
        <v>21</v>
      </c>
      <c r="J611" s="2" t="s">
        <v>22</v>
      </c>
      <c r="K611" s="2" t="s">
        <v>1260</v>
      </c>
      <c r="L611" s="6" t="s">
        <v>24</v>
      </c>
      <c r="M611" s="8" t="s">
        <v>1344</v>
      </c>
      <c r="N611" s="2" t="s">
        <v>22</v>
      </c>
      <c r="O611" s="6" t="s">
        <v>26</v>
      </c>
      <c r="P611" s="8" t="s">
        <v>27</v>
      </c>
      <c r="Q611" s="8" t="s">
        <v>1672</v>
      </c>
    </row>
    <row r="612" customFormat="false" ht="23.85" hidden="false" customHeight="false" outlineLevel="0" collapsed="false">
      <c r="A612" s="2" t="s">
        <v>1670</v>
      </c>
      <c r="B612" s="2" t="s">
        <v>1673</v>
      </c>
      <c r="C612" s="3" t="n">
        <v>38.66</v>
      </c>
      <c r="D612" s="3" t="n">
        <v>-80.66</v>
      </c>
      <c r="E612" s="10" t="s">
        <v>49</v>
      </c>
      <c r="F612" s="5" t="n">
        <v>922</v>
      </c>
      <c r="G612" s="6" t="s">
        <v>20</v>
      </c>
      <c r="H612" s="4" t="s">
        <v>19</v>
      </c>
      <c r="I612" s="7" t="s">
        <v>21</v>
      </c>
      <c r="J612" s="2" t="s">
        <v>22</v>
      </c>
      <c r="K612" s="2" t="s">
        <v>1260</v>
      </c>
      <c r="L612" s="6" t="s">
        <v>24</v>
      </c>
      <c r="M612" s="8" t="s">
        <v>1344</v>
      </c>
      <c r="N612" s="2" t="s">
        <v>22</v>
      </c>
      <c r="O612" s="6" t="s">
        <v>26</v>
      </c>
      <c r="P612" s="8" t="s">
        <v>27</v>
      </c>
      <c r="Q612" s="8" t="s">
        <v>1674</v>
      </c>
    </row>
    <row r="613" customFormat="false" ht="23.85" hidden="false" customHeight="false" outlineLevel="0" collapsed="false">
      <c r="A613" s="2" t="s">
        <v>1670</v>
      </c>
      <c r="B613" s="2" t="s">
        <v>1675</v>
      </c>
      <c r="C613" s="3" t="n">
        <v>39.7</v>
      </c>
      <c r="D613" s="3" t="n">
        <v>-79.85</v>
      </c>
      <c r="E613" s="10" t="s">
        <v>49</v>
      </c>
      <c r="F613" s="5" t="n">
        <v>868</v>
      </c>
      <c r="G613" s="6" t="s">
        <v>20</v>
      </c>
      <c r="H613" s="4" t="s">
        <v>19</v>
      </c>
      <c r="I613" s="7" t="s">
        <v>21</v>
      </c>
      <c r="J613" s="2" t="s">
        <v>22</v>
      </c>
      <c r="K613" s="2" t="s">
        <v>1676</v>
      </c>
      <c r="L613" s="9" t="s">
        <v>36</v>
      </c>
      <c r="M613" s="8" t="s">
        <v>432</v>
      </c>
      <c r="N613" s="2" t="s">
        <v>22</v>
      </c>
      <c r="O613" s="6" t="s">
        <v>26</v>
      </c>
      <c r="P613" s="8" t="s">
        <v>27</v>
      </c>
      <c r="Q613" s="8" t="s">
        <v>1677</v>
      </c>
    </row>
    <row r="614" customFormat="false" ht="23.85" hidden="false" customHeight="false" outlineLevel="0" collapsed="false">
      <c r="A614" s="2" t="s">
        <v>1670</v>
      </c>
      <c r="B614" s="2" t="s">
        <v>1678</v>
      </c>
      <c r="C614" s="3" t="n">
        <v>38.95</v>
      </c>
      <c r="D614" s="3" t="n">
        <v>-80.53</v>
      </c>
      <c r="E614" s="10" t="s">
        <v>49</v>
      </c>
      <c r="F614" s="5" t="n">
        <v>1072.5</v>
      </c>
      <c r="G614" s="6" t="s">
        <v>20</v>
      </c>
      <c r="H614" s="4" t="s">
        <v>19</v>
      </c>
      <c r="I614" s="7" t="s">
        <v>21</v>
      </c>
      <c r="J614" s="2" t="s">
        <v>22</v>
      </c>
      <c r="K614" s="2" t="s">
        <v>1247</v>
      </c>
      <c r="L614" s="6" t="s">
        <v>24</v>
      </c>
      <c r="M614" s="8" t="s">
        <v>1344</v>
      </c>
      <c r="N614" s="2" t="s">
        <v>41</v>
      </c>
      <c r="O614" s="9" t="s">
        <v>42</v>
      </c>
      <c r="P614" s="8" t="s">
        <v>43</v>
      </c>
      <c r="Q614" s="8" t="s">
        <v>1679</v>
      </c>
    </row>
    <row r="615" customFormat="false" ht="23.85" hidden="false" customHeight="false" outlineLevel="0" collapsed="false">
      <c r="A615" s="2" t="s">
        <v>1670</v>
      </c>
      <c r="B615" s="2" t="s">
        <v>1680</v>
      </c>
      <c r="C615" s="3" t="n">
        <v>39.32</v>
      </c>
      <c r="D615" s="3" t="n">
        <v>-80.03</v>
      </c>
      <c r="E615" s="10" t="s">
        <v>49</v>
      </c>
      <c r="F615" s="5" t="n">
        <v>1099</v>
      </c>
      <c r="G615" s="6" t="s">
        <v>20</v>
      </c>
      <c r="H615" s="4" t="s">
        <v>19</v>
      </c>
      <c r="I615" s="7" t="s">
        <v>21</v>
      </c>
      <c r="J615" s="2" t="s">
        <v>22</v>
      </c>
      <c r="K615" s="2" t="s">
        <v>1247</v>
      </c>
      <c r="L615" s="6" t="s">
        <v>24</v>
      </c>
      <c r="M615" s="8" t="s">
        <v>1344</v>
      </c>
      <c r="N615" s="2" t="s">
        <v>22</v>
      </c>
      <c r="O615" s="6" t="s">
        <v>26</v>
      </c>
      <c r="P615" s="8" t="s">
        <v>27</v>
      </c>
      <c r="Q615" s="8" t="s">
        <v>1681</v>
      </c>
    </row>
    <row r="616" customFormat="false" ht="23.85" hidden="false" customHeight="false" outlineLevel="0" collapsed="false">
      <c r="A616" s="2" t="s">
        <v>1670</v>
      </c>
      <c r="B616" s="2" t="s">
        <v>1682</v>
      </c>
      <c r="C616" s="3" t="n">
        <v>37.62</v>
      </c>
      <c r="D616" s="3" t="n">
        <v>-80.9</v>
      </c>
      <c r="E616" s="10" t="s">
        <v>49</v>
      </c>
      <c r="F616" s="5" t="n">
        <v>1410</v>
      </c>
      <c r="G616" s="6" t="s">
        <v>20</v>
      </c>
      <c r="H616" s="4" t="s">
        <v>19</v>
      </c>
      <c r="I616" s="7" t="s">
        <v>21</v>
      </c>
      <c r="J616" s="2" t="s">
        <v>22</v>
      </c>
      <c r="K616" s="2" t="s">
        <v>1260</v>
      </c>
      <c r="L616" s="6" t="s">
        <v>24</v>
      </c>
      <c r="M616" s="8" t="s">
        <v>1344</v>
      </c>
      <c r="N616" s="2" t="s">
        <v>22</v>
      </c>
      <c r="O616" s="6" t="s">
        <v>26</v>
      </c>
      <c r="P616" s="8" t="s">
        <v>27</v>
      </c>
      <c r="Q616" s="8" t="s">
        <v>1683</v>
      </c>
    </row>
    <row r="617" customFormat="false" ht="23.85" hidden="false" customHeight="false" outlineLevel="0" collapsed="false">
      <c r="A617" s="2" t="s">
        <v>1670</v>
      </c>
      <c r="B617" s="2" t="s">
        <v>1684</v>
      </c>
      <c r="C617" s="3" t="n">
        <v>38.85</v>
      </c>
      <c r="D617" s="3" t="n">
        <v>-80.63</v>
      </c>
      <c r="E617" s="10" t="s">
        <v>49</v>
      </c>
      <c r="F617" s="5" t="n">
        <v>789</v>
      </c>
      <c r="G617" s="6" t="s">
        <v>20</v>
      </c>
      <c r="H617" s="4" t="s">
        <v>19</v>
      </c>
      <c r="I617" s="7" t="s">
        <v>21</v>
      </c>
      <c r="J617" s="2" t="s">
        <v>22</v>
      </c>
      <c r="K617" s="2" t="s">
        <v>1260</v>
      </c>
      <c r="L617" s="6" t="s">
        <v>24</v>
      </c>
      <c r="M617" s="8" t="s">
        <v>1344</v>
      </c>
      <c r="N617" s="2" t="s">
        <v>41</v>
      </c>
      <c r="O617" s="9" t="s">
        <v>42</v>
      </c>
      <c r="P617" s="8" t="s">
        <v>43</v>
      </c>
      <c r="Q617" s="8" t="s">
        <v>1685</v>
      </c>
    </row>
    <row r="618" customFormat="false" ht="23.85" hidden="false" customHeight="false" outlineLevel="0" collapsed="false">
      <c r="A618" s="2" t="s">
        <v>1670</v>
      </c>
      <c r="B618" s="2" t="s">
        <v>1686</v>
      </c>
      <c r="C618" s="3" t="n">
        <v>38.15</v>
      </c>
      <c r="D618" s="3" t="n">
        <v>-82.33</v>
      </c>
      <c r="E618" s="10" t="s">
        <v>49</v>
      </c>
      <c r="F618" s="5" t="n">
        <v>662</v>
      </c>
      <c r="G618" s="6" t="s">
        <v>20</v>
      </c>
      <c r="H618" s="4" t="s">
        <v>19</v>
      </c>
      <c r="I618" s="7" t="s">
        <v>21</v>
      </c>
      <c r="J618" s="2" t="s">
        <v>22</v>
      </c>
      <c r="K618" s="2" t="s">
        <v>1260</v>
      </c>
      <c r="L618" s="6" t="s">
        <v>24</v>
      </c>
      <c r="M618" s="8" t="s">
        <v>1344</v>
      </c>
      <c r="N618" s="2" t="s">
        <v>41</v>
      </c>
      <c r="O618" s="9" t="s">
        <v>42</v>
      </c>
      <c r="P618" s="8" t="s">
        <v>43</v>
      </c>
      <c r="Q618" s="8" t="s">
        <v>1687</v>
      </c>
    </row>
    <row r="619" customFormat="false" ht="23.85" hidden="false" customHeight="false" outlineLevel="0" collapsed="false">
      <c r="A619" s="2" t="s">
        <v>1670</v>
      </c>
      <c r="B619" s="2" t="s">
        <v>1688</v>
      </c>
      <c r="C619" s="3" t="n">
        <v>38.28</v>
      </c>
      <c r="D619" s="3" t="n">
        <v>-82.37</v>
      </c>
      <c r="E619" s="10" t="s">
        <v>49</v>
      </c>
      <c r="F619" s="5" t="n">
        <v>592</v>
      </c>
      <c r="G619" s="6" t="s">
        <v>20</v>
      </c>
      <c r="H619" s="4" t="s">
        <v>19</v>
      </c>
      <c r="I619" s="7" t="s">
        <v>21</v>
      </c>
      <c r="J619" s="2" t="s">
        <v>22</v>
      </c>
      <c r="K619" s="2" t="s">
        <v>1260</v>
      </c>
      <c r="L619" s="6" t="s">
        <v>24</v>
      </c>
      <c r="M619" s="8" t="s">
        <v>1344</v>
      </c>
      <c r="N619" s="2" t="s">
        <v>41</v>
      </c>
      <c r="O619" s="9" t="s">
        <v>42</v>
      </c>
      <c r="P619" s="8" t="s">
        <v>43</v>
      </c>
      <c r="Q619" s="8" t="s">
        <v>1689</v>
      </c>
    </row>
    <row r="620" customFormat="false" ht="23.85" hidden="false" customHeight="false" outlineLevel="0" collapsed="false">
      <c r="A620" s="2" t="s">
        <v>1670</v>
      </c>
      <c r="B620" s="2" t="s">
        <v>1690</v>
      </c>
      <c r="C620" s="3" t="n">
        <v>37.6</v>
      </c>
      <c r="D620" s="3" t="n">
        <v>-81.83</v>
      </c>
      <c r="E620" s="10" t="s">
        <v>49</v>
      </c>
      <c r="F620" s="5" t="n">
        <v>1035</v>
      </c>
      <c r="G620" s="6" t="s">
        <v>20</v>
      </c>
      <c r="H620" s="12" t="s">
        <v>68</v>
      </c>
      <c r="I620" s="7" t="s">
        <v>21</v>
      </c>
      <c r="J620" s="2" t="s">
        <v>22</v>
      </c>
      <c r="K620" s="2" t="s">
        <v>1260</v>
      </c>
      <c r="L620" s="6" t="s">
        <v>24</v>
      </c>
      <c r="M620" s="8" t="s">
        <v>1344</v>
      </c>
      <c r="N620" s="2" t="s">
        <v>41</v>
      </c>
      <c r="O620" s="9" t="s">
        <v>42</v>
      </c>
      <c r="P620" s="8" t="s">
        <v>43</v>
      </c>
      <c r="Q620" s="8" t="s">
        <v>1691</v>
      </c>
    </row>
    <row r="621" customFormat="false" ht="23.85" hidden="false" customHeight="false" outlineLevel="0" collapsed="false">
      <c r="A621" s="2" t="s">
        <v>1670</v>
      </c>
      <c r="B621" s="2" t="s">
        <v>750</v>
      </c>
      <c r="C621" s="3" t="n">
        <v>39.42</v>
      </c>
      <c r="D621" s="3" t="n">
        <v>-79.12</v>
      </c>
      <c r="E621" s="10" t="s">
        <v>49</v>
      </c>
      <c r="F621" s="5" t="n">
        <v>1466</v>
      </c>
      <c r="G621" s="6" t="s">
        <v>20</v>
      </c>
      <c r="H621" s="4" t="s">
        <v>19</v>
      </c>
      <c r="I621" s="7" t="s">
        <v>21</v>
      </c>
      <c r="J621" s="2" t="s">
        <v>22</v>
      </c>
      <c r="K621" s="2" t="s">
        <v>1343</v>
      </c>
      <c r="L621" s="6" t="s">
        <v>24</v>
      </c>
      <c r="M621" s="8" t="s">
        <v>1344</v>
      </c>
      <c r="N621" s="2" t="s">
        <v>22</v>
      </c>
      <c r="O621" s="6" t="s">
        <v>26</v>
      </c>
      <c r="P621" s="8" t="s">
        <v>27</v>
      </c>
      <c r="Q621" s="8" t="s">
        <v>1692</v>
      </c>
    </row>
    <row r="622" customFormat="false" ht="23.85" hidden="false" customHeight="false" outlineLevel="0" collapsed="false">
      <c r="A622" s="2" t="s">
        <v>1670</v>
      </c>
      <c r="B622" s="2" t="s">
        <v>1693</v>
      </c>
      <c r="C622" s="3" t="n">
        <v>39.24</v>
      </c>
      <c r="D622" s="3" t="n">
        <v>-79.27</v>
      </c>
      <c r="E622" s="10" t="s">
        <v>49</v>
      </c>
      <c r="F622" s="5" t="n">
        <v>3244</v>
      </c>
      <c r="G622" s="6" t="s">
        <v>20</v>
      </c>
      <c r="H622" s="10" t="s">
        <v>49</v>
      </c>
      <c r="I622" s="7" t="s">
        <v>21</v>
      </c>
      <c r="J622" s="2" t="s">
        <v>22</v>
      </c>
      <c r="K622" s="2" t="s">
        <v>1694</v>
      </c>
      <c r="L622" s="14" t="s">
        <v>72</v>
      </c>
      <c r="M622" s="8" t="s">
        <v>1695</v>
      </c>
      <c r="N622" s="2" t="s">
        <v>70</v>
      </c>
      <c r="O622" s="9" t="s">
        <v>42</v>
      </c>
      <c r="P622" s="8" t="s">
        <v>43</v>
      </c>
      <c r="Q622" s="8" t="s">
        <v>1696</v>
      </c>
    </row>
    <row r="623" customFormat="false" ht="23.85" hidden="false" customHeight="false" outlineLevel="0" collapsed="false">
      <c r="A623" s="2" t="s">
        <v>1697</v>
      </c>
      <c r="B623" s="2" t="s">
        <v>1698</v>
      </c>
      <c r="C623" s="3" t="n">
        <v>44</v>
      </c>
      <c r="D623" s="3" t="n">
        <v>-88.42</v>
      </c>
      <c r="E623" s="4" t="s">
        <v>19</v>
      </c>
      <c r="F623" s="5" t="n">
        <v>746.5</v>
      </c>
      <c r="G623" s="6" t="s">
        <v>20</v>
      </c>
      <c r="H623" s="10" t="s">
        <v>49</v>
      </c>
      <c r="I623" s="13" t="s">
        <v>69</v>
      </c>
      <c r="J623" s="2" t="s">
        <v>70</v>
      </c>
      <c r="K623" s="2" t="s">
        <v>1699</v>
      </c>
      <c r="L623" s="9" t="s">
        <v>36</v>
      </c>
      <c r="M623" s="8" t="s">
        <v>432</v>
      </c>
      <c r="N623" s="2" t="s">
        <v>22</v>
      </c>
      <c r="O623" s="15" t="s">
        <v>104</v>
      </c>
      <c r="P623" s="8" t="s">
        <v>105</v>
      </c>
      <c r="Q623" s="8" t="s">
        <v>706</v>
      </c>
    </row>
    <row r="624" customFormat="false" ht="23.85" hidden="false" customHeight="false" outlineLevel="0" collapsed="false">
      <c r="A624" s="2" t="s">
        <v>1697</v>
      </c>
      <c r="B624" s="2" t="s">
        <v>471</v>
      </c>
      <c r="C624" s="3" t="n">
        <v>43.5</v>
      </c>
      <c r="D624" s="3" t="n">
        <v>-87.5</v>
      </c>
      <c r="E624" s="10" t="s">
        <v>49</v>
      </c>
      <c r="F624" s="5" t="n">
        <v>577</v>
      </c>
      <c r="G624" s="11" t="s">
        <v>67</v>
      </c>
      <c r="H624" s="4" t="s">
        <v>19</v>
      </c>
      <c r="I624" s="13" t="s">
        <v>69</v>
      </c>
      <c r="J624" s="2" t="s">
        <v>70</v>
      </c>
      <c r="K624" s="2" t="s">
        <v>812</v>
      </c>
      <c r="L624" s="6" t="s">
        <v>24</v>
      </c>
      <c r="M624" s="8" t="s">
        <v>1700</v>
      </c>
      <c r="N624" s="2" t="s">
        <v>22</v>
      </c>
      <c r="O624" s="15" t="s">
        <v>104</v>
      </c>
      <c r="P624" s="8" t="s">
        <v>474</v>
      </c>
      <c r="Q624" s="8" t="s">
        <v>1701</v>
      </c>
    </row>
    <row r="625" customFormat="false" ht="23.85" hidden="false" customHeight="false" outlineLevel="0" collapsed="false">
      <c r="A625" s="2" t="s">
        <v>1697</v>
      </c>
      <c r="B625" s="2" t="s">
        <v>808</v>
      </c>
      <c r="C625" s="3" t="n">
        <v>46.85</v>
      </c>
      <c r="D625" s="3" t="n">
        <v>-90.7</v>
      </c>
      <c r="E625" s="10" t="s">
        <v>49</v>
      </c>
      <c r="F625" s="5" t="n">
        <v>601</v>
      </c>
      <c r="G625" s="11" t="s">
        <v>67</v>
      </c>
      <c r="H625" s="4" t="s">
        <v>19</v>
      </c>
      <c r="I625" s="13" t="s">
        <v>69</v>
      </c>
      <c r="J625" s="2" t="s">
        <v>70</v>
      </c>
      <c r="K625" s="2" t="s">
        <v>1702</v>
      </c>
      <c r="L625" s="6" t="s">
        <v>24</v>
      </c>
      <c r="M625" s="8" t="s">
        <v>1700</v>
      </c>
      <c r="N625" s="2" t="s">
        <v>22</v>
      </c>
      <c r="O625" s="15" t="s">
        <v>104</v>
      </c>
      <c r="P625" s="8" t="s">
        <v>474</v>
      </c>
      <c r="Q625" s="8" t="s">
        <v>1703</v>
      </c>
    </row>
    <row r="626" customFormat="false" ht="23.85" hidden="false" customHeight="false" outlineLevel="0" collapsed="false">
      <c r="A626" s="2" t="s">
        <v>1697</v>
      </c>
      <c r="B626" s="2" t="s">
        <v>1704</v>
      </c>
      <c r="C626" s="3" t="n">
        <v>44.7</v>
      </c>
      <c r="D626" s="3" t="n">
        <v>-87.9</v>
      </c>
      <c r="E626" s="10" t="s">
        <v>49</v>
      </c>
      <c r="F626" s="5" t="n">
        <v>577</v>
      </c>
      <c r="G626" s="11" t="s">
        <v>67</v>
      </c>
      <c r="H626" s="10" t="s">
        <v>49</v>
      </c>
      <c r="I626" s="13" t="s">
        <v>69</v>
      </c>
      <c r="J626" s="2" t="s">
        <v>70</v>
      </c>
      <c r="K626" s="2" t="s">
        <v>1705</v>
      </c>
      <c r="L626" s="6" t="s">
        <v>24</v>
      </c>
      <c r="M626" s="8" t="s">
        <v>1700</v>
      </c>
      <c r="N626" s="2" t="s">
        <v>41</v>
      </c>
      <c r="O626" s="15" t="s">
        <v>104</v>
      </c>
      <c r="P626" s="8" t="s">
        <v>474</v>
      </c>
      <c r="Q626" s="8" t="s">
        <v>1706</v>
      </c>
    </row>
    <row r="627" customFormat="false" ht="23.85" hidden="false" customHeight="false" outlineLevel="0" collapsed="false">
      <c r="A627" s="2" t="s">
        <v>1697</v>
      </c>
      <c r="B627" s="2" t="s">
        <v>1707</v>
      </c>
      <c r="C627" s="3" t="n">
        <v>43.107</v>
      </c>
      <c r="D627" s="3" t="n">
        <v>-89.42</v>
      </c>
      <c r="E627" s="4" t="s">
        <v>19</v>
      </c>
      <c r="F627" s="5" t="n">
        <v>850</v>
      </c>
      <c r="G627" s="11" t="s">
        <v>67</v>
      </c>
      <c r="H627" s="4" t="s">
        <v>19</v>
      </c>
      <c r="I627" s="13" t="s">
        <v>69</v>
      </c>
      <c r="J627" s="2" t="s">
        <v>70</v>
      </c>
      <c r="K627" s="2" t="s">
        <v>1708</v>
      </c>
      <c r="L627" s="9" t="s">
        <v>36</v>
      </c>
      <c r="M627" s="8" t="s">
        <v>432</v>
      </c>
      <c r="N627" s="2" t="s">
        <v>22</v>
      </c>
      <c r="O627" s="15" t="s">
        <v>104</v>
      </c>
      <c r="P627" s="8" t="s">
        <v>105</v>
      </c>
      <c r="Q627" s="8" t="s">
        <v>1709</v>
      </c>
    </row>
    <row r="628" customFormat="false" ht="23.85" hidden="false" customHeight="false" outlineLevel="0" collapsed="false">
      <c r="A628" s="2" t="s">
        <v>1697</v>
      </c>
      <c r="B628" s="2" t="s">
        <v>1710</v>
      </c>
      <c r="C628" s="3" t="n">
        <v>43.06</v>
      </c>
      <c r="D628" s="3" t="n">
        <v>-89.37</v>
      </c>
      <c r="E628" s="4" t="s">
        <v>19</v>
      </c>
      <c r="F628" s="5" t="n">
        <v>845</v>
      </c>
      <c r="G628" s="11" t="s">
        <v>67</v>
      </c>
      <c r="H628" s="4" t="s">
        <v>19</v>
      </c>
      <c r="I628" s="13" t="s">
        <v>69</v>
      </c>
      <c r="J628" s="2" t="s">
        <v>70</v>
      </c>
      <c r="K628" s="2" t="s">
        <v>1711</v>
      </c>
      <c r="L628" s="9" t="s">
        <v>36</v>
      </c>
      <c r="M628" s="8" t="s">
        <v>432</v>
      </c>
      <c r="N628" s="2" t="s">
        <v>22</v>
      </c>
      <c r="O628" s="15" t="s">
        <v>104</v>
      </c>
      <c r="P628" s="8" t="s">
        <v>105</v>
      </c>
      <c r="Q628" s="8" t="s">
        <v>1712</v>
      </c>
    </row>
    <row r="629" customFormat="false" ht="23.85" hidden="false" customHeight="false" outlineLevel="0" collapsed="false">
      <c r="A629" s="2" t="s">
        <v>1697</v>
      </c>
      <c r="B629" s="2" t="s">
        <v>1713</v>
      </c>
      <c r="C629" s="3" t="n">
        <v>45.95</v>
      </c>
      <c r="D629" s="3" t="n">
        <v>-91.1</v>
      </c>
      <c r="E629" s="10" t="s">
        <v>49</v>
      </c>
      <c r="F629" s="5" t="n">
        <v>1313</v>
      </c>
      <c r="G629" s="6" t="s">
        <v>20</v>
      </c>
      <c r="H629" s="4" t="s">
        <v>19</v>
      </c>
      <c r="I629" s="7" t="s">
        <v>21</v>
      </c>
      <c r="J629" s="2" t="s">
        <v>22</v>
      </c>
      <c r="K629" s="2" t="s">
        <v>1714</v>
      </c>
      <c r="L629" s="9" t="s">
        <v>36</v>
      </c>
      <c r="M629" s="8" t="s">
        <v>432</v>
      </c>
      <c r="N629" s="2" t="s">
        <v>41</v>
      </c>
      <c r="O629" s="9" t="s">
        <v>42</v>
      </c>
      <c r="P629" s="8" t="s">
        <v>43</v>
      </c>
      <c r="Q629" s="8" t="s">
        <v>1715</v>
      </c>
    </row>
    <row r="630" customFormat="false" ht="23.85" hidden="false" customHeight="false" outlineLevel="0" collapsed="false">
      <c r="A630" s="2" t="s">
        <v>1697</v>
      </c>
      <c r="B630" s="2" t="s">
        <v>1716</v>
      </c>
      <c r="C630" s="3" t="n">
        <v>44.07</v>
      </c>
      <c r="D630" s="3" t="n">
        <v>-89.92</v>
      </c>
      <c r="E630" s="10" t="s">
        <v>49</v>
      </c>
      <c r="F630" s="5" t="n">
        <v>924</v>
      </c>
      <c r="G630" s="6" t="s">
        <v>20</v>
      </c>
      <c r="H630" s="10" t="s">
        <v>49</v>
      </c>
      <c r="I630" s="7" t="s">
        <v>21</v>
      </c>
      <c r="J630" s="2" t="s">
        <v>22</v>
      </c>
      <c r="K630" s="2" t="s">
        <v>1717</v>
      </c>
      <c r="L630" s="9" t="s">
        <v>36</v>
      </c>
      <c r="M630" s="8" t="s">
        <v>432</v>
      </c>
      <c r="N630" s="2" t="s">
        <v>41</v>
      </c>
      <c r="O630" s="9" t="s">
        <v>42</v>
      </c>
      <c r="P630" s="8" t="s">
        <v>43</v>
      </c>
      <c r="Q630" s="8" t="s">
        <v>1718</v>
      </c>
    </row>
    <row r="631" customFormat="false" ht="23.85" hidden="false" customHeight="false" outlineLevel="0" collapsed="false">
      <c r="A631" s="2" t="s">
        <v>1697</v>
      </c>
      <c r="B631" s="2" t="s">
        <v>1719</v>
      </c>
      <c r="C631" s="3" t="n">
        <v>43.9</v>
      </c>
      <c r="D631" s="3" t="n">
        <v>-89.95</v>
      </c>
      <c r="E631" s="10" t="s">
        <v>49</v>
      </c>
      <c r="F631" s="5" t="n">
        <v>882</v>
      </c>
      <c r="G631" s="6" t="s">
        <v>20</v>
      </c>
      <c r="H631" s="10" t="s">
        <v>49</v>
      </c>
      <c r="I631" s="7" t="s">
        <v>21</v>
      </c>
      <c r="J631" s="2" t="s">
        <v>22</v>
      </c>
      <c r="K631" s="2" t="s">
        <v>1717</v>
      </c>
      <c r="L631" s="9" t="s">
        <v>36</v>
      </c>
      <c r="M631" s="8" t="s">
        <v>432</v>
      </c>
      <c r="N631" s="2" t="s">
        <v>41</v>
      </c>
      <c r="O631" s="9" t="s">
        <v>42</v>
      </c>
      <c r="P631" s="8" t="s">
        <v>43</v>
      </c>
      <c r="Q631" s="8" t="s">
        <v>1718</v>
      </c>
    </row>
    <row r="632" customFormat="false" ht="23.85" hidden="false" customHeight="false" outlineLevel="0" collapsed="false">
      <c r="A632" s="2" t="s">
        <v>1697</v>
      </c>
      <c r="B632" s="2" t="s">
        <v>1720</v>
      </c>
      <c r="C632" s="3" t="n">
        <v>45.85</v>
      </c>
      <c r="D632" s="3" t="n">
        <v>-91.4</v>
      </c>
      <c r="E632" s="10" t="s">
        <v>49</v>
      </c>
      <c r="F632" s="5" t="n">
        <v>1293</v>
      </c>
      <c r="G632" s="11" t="s">
        <v>67</v>
      </c>
      <c r="H632" s="12" t="s">
        <v>68</v>
      </c>
      <c r="I632" s="13" t="s">
        <v>69</v>
      </c>
      <c r="J632" s="2" t="s">
        <v>70</v>
      </c>
      <c r="K632" s="2" t="s">
        <v>1721</v>
      </c>
      <c r="L632" s="14" t="s">
        <v>72</v>
      </c>
      <c r="M632" s="8" t="s">
        <v>73</v>
      </c>
      <c r="N632" s="2" t="s">
        <v>70</v>
      </c>
      <c r="O632" s="9" t="s">
        <v>42</v>
      </c>
      <c r="P632" s="8" t="s">
        <v>43</v>
      </c>
      <c r="Q632" s="8" t="s">
        <v>281</v>
      </c>
    </row>
    <row r="633" customFormat="false" ht="23.85" hidden="false" customHeight="false" outlineLevel="0" collapsed="false">
      <c r="A633" s="2" t="s">
        <v>1697</v>
      </c>
      <c r="B633" s="2" t="s">
        <v>1722</v>
      </c>
      <c r="C633" s="3" t="n">
        <v>42.58</v>
      </c>
      <c r="D633" s="3" t="n">
        <v>-88.45</v>
      </c>
      <c r="E633" s="4" t="s">
        <v>19</v>
      </c>
      <c r="F633" s="5" t="n">
        <v>879</v>
      </c>
      <c r="G633" s="11" t="s">
        <v>67</v>
      </c>
      <c r="H633" s="10" t="s">
        <v>49</v>
      </c>
      <c r="I633" s="13" t="s">
        <v>69</v>
      </c>
      <c r="J633" s="2" t="s">
        <v>70</v>
      </c>
      <c r="K633" s="2" t="s">
        <v>719</v>
      </c>
      <c r="L633" s="9" t="s">
        <v>36</v>
      </c>
      <c r="M633" s="8" t="s">
        <v>432</v>
      </c>
      <c r="N633" s="2" t="s">
        <v>41</v>
      </c>
      <c r="O633" s="9" t="s">
        <v>42</v>
      </c>
      <c r="P633" s="8" t="s">
        <v>43</v>
      </c>
      <c r="Q633" s="8" t="s">
        <v>1723</v>
      </c>
    </row>
    <row r="634" customFormat="false" ht="23.85" hidden="false" customHeight="false" outlineLevel="0" collapsed="false">
      <c r="A634" s="2" t="s">
        <v>1697</v>
      </c>
      <c r="B634" s="2" t="s">
        <v>1724</v>
      </c>
      <c r="C634" s="3" t="n">
        <v>43.83</v>
      </c>
      <c r="D634" s="3" t="n">
        <v>-88.97</v>
      </c>
      <c r="E634" s="10" t="s">
        <v>49</v>
      </c>
      <c r="F634" s="5" t="n">
        <v>795</v>
      </c>
      <c r="G634" s="11" t="s">
        <v>67</v>
      </c>
      <c r="H634" s="12" t="s">
        <v>68</v>
      </c>
      <c r="I634" s="13" t="s">
        <v>69</v>
      </c>
      <c r="J634" s="2" t="s">
        <v>70</v>
      </c>
      <c r="K634" s="2" t="s">
        <v>715</v>
      </c>
      <c r="L634" s="9" t="s">
        <v>36</v>
      </c>
      <c r="M634" s="8" t="s">
        <v>432</v>
      </c>
      <c r="N634" s="2" t="s">
        <v>41</v>
      </c>
      <c r="O634" s="9" t="s">
        <v>42</v>
      </c>
      <c r="P634" s="8" t="s">
        <v>43</v>
      </c>
      <c r="Q634" s="8" t="s">
        <v>1725</v>
      </c>
    </row>
    <row r="635" customFormat="false" ht="23.85" hidden="false" customHeight="false" outlineLevel="0" collapsed="false">
      <c r="A635" s="2" t="s">
        <v>1697</v>
      </c>
      <c r="B635" s="2" t="s">
        <v>1726</v>
      </c>
      <c r="C635" s="3" t="n">
        <v>43.45</v>
      </c>
      <c r="D635" s="3" t="n">
        <v>-89.65</v>
      </c>
      <c r="E635" s="10" t="s">
        <v>49</v>
      </c>
      <c r="F635" s="5" t="n">
        <v>774</v>
      </c>
      <c r="G635" s="6" t="s">
        <v>20</v>
      </c>
      <c r="H635" s="10" t="s">
        <v>49</v>
      </c>
      <c r="I635" s="7" t="s">
        <v>21</v>
      </c>
      <c r="J635" s="2" t="s">
        <v>22</v>
      </c>
      <c r="K635" s="2" t="s">
        <v>1727</v>
      </c>
      <c r="L635" s="9" t="s">
        <v>36</v>
      </c>
      <c r="M635" s="8" t="s">
        <v>432</v>
      </c>
      <c r="N635" s="2" t="s">
        <v>22</v>
      </c>
      <c r="O635" s="6" t="s">
        <v>26</v>
      </c>
      <c r="P635" s="8" t="s">
        <v>27</v>
      </c>
      <c r="Q635" s="8" t="s">
        <v>1728</v>
      </c>
    </row>
    <row r="636" customFormat="false" ht="23.85" hidden="false" customHeight="false" outlineLevel="0" collapsed="false">
      <c r="A636" s="2" t="s">
        <v>1729</v>
      </c>
      <c r="B636" s="2" t="s">
        <v>1730</v>
      </c>
      <c r="C636" s="3" t="n">
        <v>44.42</v>
      </c>
      <c r="D636" s="3" t="n">
        <v>-110.37</v>
      </c>
      <c r="E636" s="4" t="s">
        <v>19</v>
      </c>
      <c r="F636" s="5" t="n">
        <v>7733</v>
      </c>
      <c r="G636" s="11" t="s">
        <v>67</v>
      </c>
      <c r="H636" s="4" t="s">
        <v>19</v>
      </c>
      <c r="I636" s="13" t="s">
        <v>69</v>
      </c>
      <c r="J636" s="2" t="s">
        <v>70</v>
      </c>
      <c r="K636" s="2" t="s">
        <v>1661</v>
      </c>
      <c r="L636" s="9" t="s">
        <v>36</v>
      </c>
      <c r="M636" s="8" t="s">
        <v>432</v>
      </c>
      <c r="N636" s="2" t="s">
        <v>22</v>
      </c>
      <c r="O636" s="6" t="s">
        <v>26</v>
      </c>
      <c r="P636" s="8" t="s">
        <v>27</v>
      </c>
      <c r="Q636" s="8" t="s">
        <v>284</v>
      </c>
    </row>
    <row r="637" customFormat="false" ht="23.85" hidden="false" customHeight="false" outlineLevel="0" collapsed="false">
      <c r="A637" s="2" t="s">
        <v>1729</v>
      </c>
      <c r="B637" s="2" t="s">
        <v>1550</v>
      </c>
      <c r="C637" s="3" t="n">
        <v>41.4</v>
      </c>
      <c r="D637" s="3" t="n">
        <v>-109.5</v>
      </c>
      <c r="E637" s="10" t="s">
        <v>49</v>
      </c>
      <c r="F637" s="5" t="n">
        <v>6040</v>
      </c>
      <c r="G637" s="6" t="s">
        <v>20</v>
      </c>
      <c r="H637" s="4" t="s">
        <v>19</v>
      </c>
      <c r="I637" s="7" t="s">
        <v>21</v>
      </c>
      <c r="J637" s="2" t="s">
        <v>22</v>
      </c>
      <c r="K637" s="2" t="s">
        <v>1731</v>
      </c>
      <c r="L637" s="6" t="s">
        <v>24</v>
      </c>
      <c r="M637" s="8" t="s">
        <v>242</v>
      </c>
      <c r="N637" s="2" t="s">
        <v>22</v>
      </c>
      <c r="O637" s="6" t="s">
        <v>26</v>
      </c>
      <c r="P637" s="8" t="s">
        <v>27</v>
      </c>
      <c r="Q637" s="8" t="s">
        <v>629</v>
      </c>
    </row>
    <row r="638" customFormat="false" ht="23.85" hidden="false" customHeight="false" outlineLevel="0" collapsed="false">
      <c r="A638" s="2" t="s">
        <v>1729</v>
      </c>
      <c r="B638" s="2" t="s">
        <v>1732</v>
      </c>
      <c r="C638" s="3" t="n">
        <v>43.85</v>
      </c>
      <c r="D638" s="3" t="n">
        <v>-110.6</v>
      </c>
      <c r="E638" s="4" t="s">
        <v>19</v>
      </c>
      <c r="F638" s="5" t="n">
        <v>6772</v>
      </c>
      <c r="G638" s="6" t="s">
        <v>20</v>
      </c>
      <c r="H638" s="10" t="s">
        <v>49</v>
      </c>
      <c r="I638" s="13" t="s">
        <v>69</v>
      </c>
      <c r="J638" s="2" t="s">
        <v>70</v>
      </c>
      <c r="K638" s="2" t="s">
        <v>1733</v>
      </c>
      <c r="L638" s="6" t="s">
        <v>24</v>
      </c>
      <c r="M638" s="8" t="s">
        <v>242</v>
      </c>
      <c r="N638" s="2" t="s">
        <v>22</v>
      </c>
      <c r="O638" s="6" t="s">
        <v>26</v>
      </c>
      <c r="P638" s="8" t="s">
        <v>27</v>
      </c>
      <c r="Q638" s="8" t="s">
        <v>1734</v>
      </c>
    </row>
    <row r="639" customFormat="false" ht="23.85" hidden="false" customHeight="false" outlineLevel="0" collapsed="false">
      <c r="A639" s="2" t="s">
        <v>1729</v>
      </c>
      <c r="B639" s="2" t="s">
        <v>952</v>
      </c>
      <c r="C639" s="3" t="n">
        <v>44.9</v>
      </c>
      <c r="D639" s="3" t="n">
        <v>-108.2</v>
      </c>
      <c r="E639" s="10" t="s">
        <v>49</v>
      </c>
      <c r="F639" s="5" t="n">
        <v>3640</v>
      </c>
      <c r="G639" s="6" t="s">
        <v>20</v>
      </c>
      <c r="H639" s="4" t="s">
        <v>19</v>
      </c>
      <c r="I639" s="7" t="s">
        <v>21</v>
      </c>
      <c r="J639" s="2" t="s">
        <v>22</v>
      </c>
      <c r="K639" s="2" t="s">
        <v>953</v>
      </c>
      <c r="L639" s="6" t="s">
        <v>24</v>
      </c>
      <c r="M639" s="8" t="s">
        <v>1735</v>
      </c>
      <c r="N639" s="2" t="s">
        <v>22</v>
      </c>
      <c r="O639" s="6" t="s">
        <v>26</v>
      </c>
      <c r="P639" s="8" t="s">
        <v>27</v>
      </c>
      <c r="Q639" s="8" t="s">
        <v>1736</v>
      </c>
    </row>
    <row r="640" customFormat="false" ht="23.85" hidden="false" customHeight="false" outlineLevel="0" collapsed="false">
      <c r="A640" s="2" t="s">
        <v>1729</v>
      </c>
      <c r="B640" s="2" t="s">
        <v>1737</v>
      </c>
      <c r="C640" s="3" t="n">
        <v>43.35</v>
      </c>
      <c r="D640" s="3" t="n">
        <v>-108.17</v>
      </c>
      <c r="E640" s="10" t="s">
        <v>49</v>
      </c>
      <c r="F640" s="5" t="n">
        <v>4725</v>
      </c>
      <c r="G640" s="6" t="s">
        <v>20</v>
      </c>
      <c r="H640" s="4" t="s">
        <v>19</v>
      </c>
      <c r="I640" s="7" t="s">
        <v>21</v>
      </c>
      <c r="J640" s="2" t="s">
        <v>22</v>
      </c>
      <c r="K640" s="2" t="s">
        <v>589</v>
      </c>
      <c r="L640" s="6" t="s">
        <v>24</v>
      </c>
      <c r="M640" s="8" t="s">
        <v>242</v>
      </c>
      <c r="N640" s="2" t="s">
        <v>22</v>
      </c>
      <c r="O640" s="6" t="s">
        <v>26</v>
      </c>
      <c r="P640" s="8" t="s">
        <v>27</v>
      </c>
      <c r="Q640" s="8" t="s">
        <v>1738</v>
      </c>
    </row>
    <row r="641" customFormat="false" ht="23.85" hidden="false" customHeight="false" outlineLevel="0" collapsed="false">
      <c r="A641" s="2" t="s">
        <v>1729</v>
      </c>
      <c r="B641" s="2" t="s">
        <v>1739</v>
      </c>
      <c r="C641" s="3" t="n">
        <v>42.47</v>
      </c>
      <c r="D641" s="3" t="n">
        <v>-106.85</v>
      </c>
      <c r="E641" s="10" t="s">
        <v>49</v>
      </c>
      <c r="F641" s="5" t="n">
        <v>5850.1</v>
      </c>
      <c r="G641" s="6" t="s">
        <v>20</v>
      </c>
      <c r="H641" s="4" t="s">
        <v>19</v>
      </c>
      <c r="I641" s="7" t="s">
        <v>21</v>
      </c>
      <c r="J641" s="2" t="s">
        <v>22</v>
      </c>
      <c r="K641" s="2" t="s">
        <v>589</v>
      </c>
      <c r="L641" s="6" t="s">
        <v>24</v>
      </c>
      <c r="M641" s="8" t="s">
        <v>242</v>
      </c>
      <c r="N641" s="2" t="s">
        <v>22</v>
      </c>
      <c r="O641" s="6" t="s">
        <v>26</v>
      </c>
      <c r="P641" s="8" t="s">
        <v>27</v>
      </c>
      <c r="Q641" s="8" t="s">
        <v>1740</v>
      </c>
    </row>
    <row r="642" customFormat="false" ht="23.85" hidden="false" customHeight="false" outlineLevel="0" collapsed="false">
      <c r="A642" s="2" t="s">
        <v>1729</v>
      </c>
      <c r="B642" s="2" t="s">
        <v>1741</v>
      </c>
      <c r="C642" s="3" t="n">
        <v>42.13</v>
      </c>
      <c r="D642" s="3" t="n">
        <v>-106.9</v>
      </c>
      <c r="E642" s="10" t="s">
        <v>49</v>
      </c>
      <c r="F642" s="5" t="n">
        <v>6362</v>
      </c>
      <c r="G642" s="6" t="s">
        <v>20</v>
      </c>
      <c r="H642" s="4" t="s">
        <v>19</v>
      </c>
      <c r="I642" s="7" t="s">
        <v>21</v>
      </c>
      <c r="J642" s="2" t="s">
        <v>22</v>
      </c>
      <c r="K642" s="2" t="s">
        <v>589</v>
      </c>
      <c r="L642" s="6" t="s">
        <v>24</v>
      </c>
      <c r="M642" s="8" t="s">
        <v>242</v>
      </c>
      <c r="N642" s="2" t="s">
        <v>22</v>
      </c>
      <c r="O642" s="6" t="s">
        <v>26</v>
      </c>
      <c r="P642" s="8" t="s">
        <v>27</v>
      </c>
      <c r="Q642" s="8" t="s">
        <v>1740</v>
      </c>
    </row>
    <row r="643" customFormat="false" ht="23.85" hidden="false" customHeight="false" outlineLevel="0" collapsed="false">
      <c r="A643" s="2" t="s">
        <v>1729</v>
      </c>
      <c r="B643" s="2" t="s">
        <v>1742</v>
      </c>
      <c r="C643" s="3" t="n">
        <v>42.48</v>
      </c>
      <c r="D643" s="3" t="n">
        <v>-105</v>
      </c>
      <c r="E643" s="10" t="s">
        <v>49</v>
      </c>
      <c r="F643" s="5" t="n">
        <v>4635</v>
      </c>
      <c r="G643" s="6" t="s">
        <v>20</v>
      </c>
      <c r="H643" s="4" t="s">
        <v>19</v>
      </c>
      <c r="I643" s="7" t="s">
        <v>21</v>
      </c>
      <c r="J643" s="2" t="s">
        <v>22</v>
      </c>
      <c r="K643" s="2" t="s">
        <v>589</v>
      </c>
      <c r="L643" s="6" t="s">
        <v>24</v>
      </c>
      <c r="M643" s="8" t="s">
        <v>242</v>
      </c>
      <c r="N643" s="2" t="s">
        <v>22</v>
      </c>
      <c r="O643" s="6" t="s">
        <v>26</v>
      </c>
      <c r="P643" s="8" t="s">
        <v>27</v>
      </c>
      <c r="Q643" s="8" t="s">
        <v>1740</v>
      </c>
    </row>
    <row r="644" customFormat="false" ht="23.85" hidden="false" customHeight="false" outlineLevel="0" collapsed="false">
      <c r="A644" s="2" t="s">
        <v>1729</v>
      </c>
      <c r="B644" s="2" t="s">
        <v>1743</v>
      </c>
      <c r="C644" s="3" t="n">
        <v>44.5</v>
      </c>
      <c r="D644" s="3" t="n">
        <v>-109.2</v>
      </c>
      <c r="E644" s="10" t="s">
        <v>49</v>
      </c>
      <c r="F644" s="5" t="n">
        <v>5393.5</v>
      </c>
      <c r="G644" s="6" t="s">
        <v>20</v>
      </c>
      <c r="H644" s="4" t="s">
        <v>19</v>
      </c>
      <c r="I644" s="7" t="s">
        <v>21</v>
      </c>
      <c r="J644" s="2" t="s">
        <v>22</v>
      </c>
      <c r="K644" s="2" t="s">
        <v>589</v>
      </c>
      <c r="L644" s="6" t="s">
        <v>24</v>
      </c>
      <c r="M644" s="8" t="s">
        <v>242</v>
      </c>
      <c r="N644" s="2" t="s">
        <v>22</v>
      </c>
      <c r="O644" s="6" t="s">
        <v>26</v>
      </c>
      <c r="P644" s="8" t="s">
        <v>27</v>
      </c>
      <c r="Q644" s="8" t="s">
        <v>1744</v>
      </c>
    </row>
    <row r="645" customFormat="false" ht="23.85" hidden="false" customHeight="false" outlineLevel="0" collapsed="false">
      <c r="A645" s="2" t="s">
        <v>1729</v>
      </c>
      <c r="B645" s="2" t="s">
        <v>1745</v>
      </c>
      <c r="C645" s="3" t="n">
        <v>42.05</v>
      </c>
      <c r="D645" s="3" t="n">
        <v>-110.07</v>
      </c>
      <c r="E645" s="10" t="s">
        <v>49</v>
      </c>
      <c r="F645" s="5" t="n">
        <v>6506</v>
      </c>
      <c r="G645" s="6" t="s">
        <v>20</v>
      </c>
      <c r="H645" s="4" t="s">
        <v>19</v>
      </c>
      <c r="I645" s="7" t="s">
        <v>21</v>
      </c>
      <c r="J645" s="2" t="s">
        <v>22</v>
      </c>
      <c r="K645" s="2" t="s">
        <v>589</v>
      </c>
      <c r="L645" s="6" t="s">
        <v>24</v>
      </c>
      <c r="M645" s="8" t="s">
        <v>242</v>
      </c>
      <c r="N645" s="2" t="s">
        <v>22</v>
      </c>
      <c r="O645" s="6" t="s">
        <v>26</v>
      </c>
      <c r="P645" s="8" t="s">
        <v>27</v>
      </c>
      <c r="Q645" s="8" t="s">
        <v>629</v>
      </c>
    </row>
    <row r="646" customFormat="false" ht="23.85" hidden="false" customHeight="false" outlineLevel="0" collapsed="false">
      <c r="A646" s="2" t="s">
        <v>1729</v>
      </c>
      <c r="B646" s="2" t="s">
        <v>1746</v>
      </c>
      <c r="C646" s="3" t="n">
        <v>44.35</v>
      </c>
      <c r="D646" s="3" t="n">
        <v>-104.78</v>
      </c>
      <c r="E646" s="10" t="s">
        <v>49</v>
      </c>
      <c r="F646" s="5" t="n">
        <v>4099</v>
      </c>
      <c r="G646" s="6" t="s">
        <v>20</v>
      </c>
      <c r="H646" s="4" t="s">
        <v>19</v>
      </c>
      <c r="I646" s="7" t="s">
        <v>21</v>
      </c>
      <c r="J646" s="2" t="s">
        <v>22</v>
      </c>
      <c r="K646" s="2" t="s">
        <v>1747</v>
      </c>
      <c r="L646" s="6" t="s">
        <v>24</v>
      </c>
      <c r="M646" s="8" t="s">
        <v>242</v>
      </c>
      <c r="N646" s="2" t="s">
        <v>22</v>
      </c>
      <c r="O646" s="6" t="s">
        <v>26</v>
      </c>
      <c r="P646" s="8" t="s">
        <v>27</v>
      </c>
      <c r="Q646" s="8" t="s">
        <v>1748</v>
      </c>
    </row>
    <row r="647" customFormat="false" ht="23.85" hidden="false" customHeight="false" outlineLevel="0" collapsed="false">
      <c r="A647" s="2" t="s">
        <v>1729</v>
      </c>
      <c r="B647" s="2" t="s">
        <v>1749</v>
      </c>
      <c r="C647" s="3" t="n">
        <v>43.76</v>
      </c>
      <c r="D647" s="3" t="n">
        <v>-110.72</v>
      </c>
      <c r="E647" s="4" t="s">
        <v>19</v>
      </c>
      <c r="F647" s="5" t="n">
        <v>6783</v>
      </c>
      <c r="G647" s="11" t="s">
        <v>67</v>
      </c>
      <c r="H647" s="10" t="s">
        <v>49</v>
      </c>
      <c r="I647" s="13" t="s">
        <v>69</v>
      </c>
      <c r="J647" s="2" t="s">
        <v>70</v>
      </c>
      <c r="K647" s="2" t="s">
        <v>1661</v>
      </c>
      <c r="L647" s="14" t="s">
        <v>72</v>
      </c>
      <c r="M647" s="8" t="s">
        <v>73</v>
      </c>
      <c r="N647" s="2" t="s">
        <v>70</v>
      </c>
      <c r="O647" s="9" t="s">
        <v>42</v>
      </c>
      <c r="P647" s="8" t="s">
        <v>43</v>
      </c>
      <c r="Q647" s="8" t="s">
        <v>281</v>
      </c>
    </row>
    <row r="648" customFormat="false" ht="23.85" hidden="false" customHeight="false" outlineLevel="0" collapsed="false">
      <c r="A648" s="2" t="s">
        <v>1729</v>
      </c>
      <c r="B648" s="2" t="s">
        <v>1750</v>
      </c>
      <c r="C648" s="3" t="n">
        <v>42.54</v>
      </c>
      <c r="D648" s="3" t="n">
        <v>-106.75</v>
      </c>
      <c r="E648" s="10" t="s">
        <v>49</v>
      </c>
      <c r="F648" s="5" t="n">
        <v>5500</v>
      </c>
      <c r="G648" s="6" t="s">
        <v>20</v>
      </c>
      <c r="H648" s="4" t="s">
        <v>19</v>
      </c>
      <c r="I648" s="7" t="s">
        <v>21</v>
      </c>
      <c r="J648" s="2" t="s">
        <v>22</v>
      </c>
      <c r="K648" s="2" t="s">
        <v>589</v>
      </c>
      <c r="L648" s="6" t="s">
        <v>24</v>
      </c>
      <c r="M648" s="8" t="s">
        <v>242</v>
      </c>
      <c r="N648" s="2" t="s">
        <v>22</v>
      </c>
      <c r="O648" s="6" t="s">
        <v>26</v>
      </c>
      <c r="P648" s="8" t="s">
        <v>27</v>
      </c>
      <c r="Q648" s="8" t="s">
        <v>1740</v>
      </c>
    </row>
  </sheetData>
  <autoFilter ref="A1:Q6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9.7" hidden="false" customHeight="false" outlineLevel="0" collapsed="false">
      <c r="A1" s="16" t="s">
        <v>1751</v>
      </c>
    </row>
    <row r="2" customFormat="false" ht="15" hidden="false" customHeight="false" outlineLevel="0" collapsed="false">
      <c r="A2" s="17" t="s">
        <v>1752</v>
      </c>
    </row>
    <row r="4" customFormat="false" ht="15" hidden="false" customHeight="false" outlineLevel="0" collapsed="false">
      <c r="A4" s="18" t="s">
        <v>1753</v>
      </c>
    </row>
    <row r="5" customFormat="false" ht="15" hidden="false" customHeight="false" outlineLevel="0" collapsed="false">
      <c r="A5" s="19" t="s">
        <v>1754</v>
      </c>
      <c r="B5" s="19" t="s">
        <v>1755</v>
      </c>
      <c r="C5" s="20" t="s">
        <v>1756</v>
      </c>
    </row>
    <row r="6" customFormat="false" ht="15" hidden="false" customHeight="false" outlineLevel="0" collapsed="false">
      <c r="A6" s="21" t="s">
        <v>1757</v>
      </c>
      <c r="B6" s="19" t="n">
        <f aca="false">COUNTA(Lakes!$B$2:$B$648)</f>
        <v>647</v>
      </c>
    </row>
    <row r="7" customFormat="false" ht="15" hidden="false" customHeight="false" outlineLevel="0" collapsed="false">
      <c r="A7" s="21" t="s">
        <v>1758</v>
      </c>
      <c r="B7" s="19" t="n">
        <f aca="false">COUNTIF(Lakes!$J$2:$J$648,"Yes")</f>
        <v>422</v>
      </c>
      <c r="C7" s="20" t="n">
        <f aca="false">B7/$B$6</f>
        <v>0.652241112828439</v>
      </c>
    </row>
    <row r="8" customFormat="false" ht="15" hidden="false" customHeight="false" outlineLevel="0" collapsed="false">
      <c r="A8" s="21" t="s">
        <v>1759</v>
      </c>
      <c r="B8" s="19" t="n">
        <f aca="false">COUNTIF(Lakes!$J$2:$J$648,"No")</f>
        <v>225</v>
      </c>
      <c r="C8" s="20" t="n">
        <f aca="false">B8/$B$6</f>
        <v>0.347758887171561</v>
      </c>
    </row>
    <row r="10" customFormat="false" ht="15" hidden="false" customHeight="false" outlineLevel="0" collapsed="false">
      <c r="A10" s="18" t="s">
        <v>1760</v>
      </c>
    </row>
    <row r="11" customFormat="false" ht="15" hidden="false" customHeight="false" outlineLevel="0" collapsed="false">
      <c r="A11" s="19" t="s">
        <v>1761</v>
      </c>
      <c r="B11" s="19" t="s">
        <v>1755</v>
      </c>
      <c r="C11" s="20" t="s">
        <v>1756</v>
      </c>
    </row>
    <row r="12" customFormat="false" ht="15" hidden="false" customHeight="false" outlineLevel="0" collapsed="false">
      <c r="A12" s="21" t="s">
        <v>1762</v>
      </c>
      <c r="B12" s="19" t="n">
        <f aca="false">COUNTIF(Lakes!$G$2:$G$648,"Full pool")</f>
        <v>450</v>
      </c>
      <c r="C12" s="20" t="n">
        <f aca="false">B12/$B$6</f>
        <v>0.695517774343122</v>
      </c>
    </row>
    <row r="13" customFormat="false" ht="15" hidden="false" customHeight="false" outlineLevel="0" collapsed="false">
      <c r="A13" s="21" t="s">
        <v>1763</v>
      </c>
      <c r="B13" s="19" t="n">
        <f aca="false">COUNTIF(Lakes!$G$2:$G$648,"Natural surface")</f>
        <v>197</v>
      </c>
      <c r="C13" s="20" t="n">
        <f aca="false">B13/$B$6</f>
        <v>0.304482225656878</v>
      </c>
    </row>
    <row r="14" customFormat="false" ht="15" hidden="false" customHeight="false" outlineLevel="0" collapsed="false">
      <c r="A14" s="21" t="s">
        <v>1764</v>
      </c>
      <c r="B14" s="19" t="n">
        <f aca="false">COUNTIF(Lakes!$H$2:$H$648,"High")</f>
        <v>281</v>
      </c>
      <c r="C14" s="20" t="n">
        <f aca="false">B14/$B$6</f>
        <v>0.434312210200927</v>
      </c>
    </row>
    <row r="15" customFormat="false" ht="15" hidden="false" customHeight="false" outlineLevel="0" collapsed="false">
      <c r="A15" s="21" t="s">
        <v>1765</v>
      </c>
      <c r="B15" s="19" t="n">
        <f aca="false">COUNTIF(Lakes!$H$2:$H$648,"Med")</f>
        <v>213</v>
      </c>
      <c r="C15" s="20" t="n">
        <f aca="false">B15/$B$6</f>
        <v>0.329211746522411</v>
      </c>
    </row>
    <row r="16" customFormat="false" ht="15" hidden="false" customHeight="false" outlineLevel="0" collapsed="false">
      <c r="A16" s="21" t="s">
        <v>1766</v>
      </c>
      <c r="B16" s="19" t="n">
        <f aca="false">COUNTIF(Lakes!$H$2:$H$648,"Low")</f>
        <v>153</v>
      </c>
      <c r="C16" s="20" t="n">
        <f aca="false">B16/$B$6</f>
        <v>0.236476043276662</v>
      </c>
    </row>
    <row r="18" customFormat="false" ht="15" hidden="false" customHeight="false" outlineLevel="0" collapsed="false">
      <c r="A18" s="18" t="s">
        <v>1767</v>
      </c>
    </row>
    <row r="19" customFormat="false" ht="15" hidden="false" customHeight="false" outlineLevel="0" collapsed="false">
      <c r="A19" s="19" t="s">
        <v>11</v>
      </c>
      <c r="B19" s="19" t="s">
        <v>1755</v>
      </c>
      <c r="C19" s="20" t="s">
        <v>1756</v>
      </c>
    </row>
    <row r="20" customFormat="false" ht="15" hidden="false" customHeight="false" outlineLevel="0" collapsed="false">
      <c r="A20" s="21" t="s">
        <v>1768</v>
      </c>
      <c r="B20" s="19" t="n">
        <f aca="false">COUNTIF(Lakes!$L$2:$L$648,"Dedicated")</f>
        <v>291</v>
      </c>
      <c r="C20" s="20" t="n">
        <f aca="false">B20/$B$6</f>
        <v>0.449768160741886</v>
      </c>
    </row>
    <row r="21" customFormat="false" ht="15" hidden="false" customHeight="false" outlineLevel="0" collapsed="false">
      <c r="A21" s="21" t="s">
        <v>1769</v>
      </c>
      <c r="B21" s="19" t="n">
        <f aca="false">COUNTIF(Lakes!$L$2:$L$648,"USGS-only")</f>
        <v>191</v>
      </c>
      <c r="C21" s="20" t="n">
        <f aca="false">B21/$B$6</f>
        <v>0.295208655332303</v>
      </c>
    </row>
    <row r="22" customFormat="false" ht="15" hidden="false" customHeight="false" outlineLevel="0" collapsed="false">
      <c r="A22" s="21" t="s">
        <v>72</v>
      </c>
      <c r="B22" s="19" t="n">
        <f aca="false">COUNTIF(Lakes!$L$2:$L$648,"None")</f>
        <v>165</v>
      </c>
      <c r="C22" s="20" t="n">
        <f aca="false">B22/$B$6</f>
        <v>0.255023183925811</v>
      </c>
    </row>
    <row r="23" customFormat="false" ht="15" hidden="false" customHeight="false" outlineLevel="0" collapsed="false">
      <c r="A23" s="21" t="s">
        <v>1770</v>
      </c>
      <c r="B23" s="19" t="n">
        <f aca="false">B20+B21</f>
        <v>482</v>
      </c>
      <c r="C23" s="20" t="n">
        <f aca="false">B23/$B$6</f>
        <v>0.744976816074189</v>
      </c>
    </row>
    <row r="26" customFormat="false" ht="15" hidden="false" customHeight="false" outlineLevel="0" collapsed="false">
      <c r="A26" s="18" t="s">
        <v>1771</v>
      </c>
    </row>
    <row r="27" customFormat="false" ht="15" hidden="false" customHeight="false" outlineLevel="0" collapsed="false">
      <c r="A27" s="19" t="s">
        <v>1772</v>
      </c>
      <c r="B27" s="19" t="s">
        <v>1755</v>
      </c>
      <c r="C27" s="20" t="s">
        <v>1756</v>
      </c>
    </row>
    <row r="28" customFormat="false" ht="15" hidden="false" customHeight="false" outlineLevel="0" collapsed="false">
      <c r="A28" s="21" t="s">
        <v>1773</v>
      </c>
      <c r="B28" s="19" t="n">
        <f aca="false">COUNTIF(Lakes!$O$2:$O$648,"Buoy / in-situ (real-time)")</f>
        <v>35</v>
      </c>
      <c r="C28" s="20" t="n">
        <f aca="false">B28/$B$6</f>
        <v>0.0540958268933539</v>
      </c>
    </row>
    <row r="29" customFormat="false" ht="15" hidden="false" customHeight="false" outlineLevel="0" collapsed="false">
      <c r="A29" s="21" t="s">
        <v>1774</v>
      </c>
      <c r="B29" s="19" t="n">
        <f aca="false">COUNTIF(Lakes!$O$2:$O$648,"In-situ (USGS / WQP)")</f>
        <v>305</v>
      </c>
      <c r="C29" s="20" t="n">
        <f aca="false">B29/$B$6</f>
        <v>0.471406491499227</v>
      </c>
    </row>
    <row r="30" customFormat="false" ht="15" hidden="false" customHeight="false" outlineLevel="0" collapsed="false">
      <c r="A30" s="21" t="s">
        <v>42</v>
      </c>
      <c r="B30" s="19" t="n">
        <f aca="false">COUNTIF(Lakes!$O$2:$O$648,"Satellite estimate")</f>
        <v>270</v>
      </c>
      <c r="C30" s="20" t="n">
        <f aca="false">B30/$B$6</f>
        <v>0.417310664605873</v>
      </c>
    </row>
    <row r="31" customFormat="false" ht="15" hidden="false" customHeight="false" outlineLevel="0" collapsed="false">
      <c r="A31" s="21" t="s">
        <v>294</v>
      </c>
      <c r="B31" s="19" t="n">
        <f aca="false">COUNTIF(Lakes!$O$2:$O$648,"Limited / none")</f>
        <v>37</v>
      </c>
      <c r="C31" s="20" t="n">
        <f aca="false">B31/$B$6</f>
        <v>0.0571870170015456</v>
      </c>
    </row>
    <row r="33" customFormat="false" ht="15" hidden="false" customHeight="false" outlineLevel="0" collapsed="false">
      <c r="A33" s="17" t="s">
        <v>1775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2026-08-06T18:42:19Z</dcterms:created>
  <dc:creator>openpyxl</dc:creator>
  <dc:description/>
  <dc:language>en-US</dc:language>
  <cp:lastModifiedBy/>
  <dcterms:modified xsi:type="dcterms:W3CDTF">2026-08-06T18:42:19Z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